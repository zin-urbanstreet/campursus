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att" sheetId="1" state="visible" r:id="rId3"/>
    <sheet name="01 Cockpit" sheetId="2" state="visible" r:id="rId4"/>
    <sheet name="02 Renditeanalyse" sheetId="3" state="visible" r:id="rId5"/>
    <sheet name="03 Flächenspiegel" sheetId="4" state="visible" r:id="rId6"/>
    <sheet name="03b Nebenflächen-Umlage" sheetId="5" state="visible" r:id="rId7"/>
    <sheet name="04 Gebäudekennzahlen" sheetId="6" state="visible" r:id="rId8"/>
    <sheet name="05 Kostenschätzung" sheetId="7" state="visible" r:id="rId9"/>
    <sheet name="06 Etappe 2" sheetId="8" state="visible" r:id="rId10"/>
    <sheet name="07 Grundstück" sheetId="9" state="visible" r:id="rId11"/>
    <sheet name="08 Quelldaten" sheetId="10" state="visible" r:id="rId12"/>
    <sheet name="09 Prozess &amp; Next Steps" sheetId="11" state="visible" r:id="rId13"/>
    <sheet name="10 Ziel-Abgleich" sheetId="12" state="visible" r:id="rId14"/>
    <sheet name="11 Parkplätze &amp; Nebenerträge" sheetId="13" state="visible" r:id="rId15"/>
    <sheet name="12 Glossar" sheetId="14" state="visible" r:id="rId16"/>
  </sheets>
  <definedNames>
    <definedName function="false" hidden="false" name="Bewirt_PCT" vbProcedure="false">'02 Renditeanalyse'!$C$6</definedName>
    <definedName function="false" hidden="false" name="BK_Faktor_E2" vbProcedure="false">'06 Etappe 2'!$E$8</definedName>
    <definedName function="false" hidden="false" name="BruttoRendite_E1_eff" vbProcedure="false">'02 Renditeanalyse'!$C$28</definedName>
    <definedName function="false" hidden="false" name="BruttoRendite_Total_eff" vbProcedure="false">'02 Renditeanalyse'!$E$28</definedName>
    <definedName function="false" hidden="false" name="EKRendite_E1" vbProcedure="false">'02 Renditeanalyse'!$C$30</definedName>
    <definedName function="false" hidden="false" name="EKRendite_Total" vbProcedure="false">'02 Renditeanalyse'!$E$30</definedName>
    <definedName function="false" hidden="false" name="EK_E1_abs" vbProcedure="false">'05 Kostenschätzung'!$D$20</definedName>
    <definedName function="false" hidden="false" name="EK_PCT" vbProcedure="false">'02 Renditeanalyse'!$C$8</definedName>
    <definedName function="false" hidden="false" name="EK_Total" vbProcedure="false">'05 Kostenschätzung'!$F$20</definedName>
    <definedName function="false" hidden="false" name="FK_E1_abs" vbProcedure="false">'05 Kostenschätzung'!$D$21</definedName>
    <definedName function="false" hidden="false" name="FK_Total" vbProcedure="false">'05 Kostenschätzung'!$F$21</definedName>
    <definedName function="false" hidden="false" name="FK_Zins" vbProcedure="false">'02 Renditeanalyse'!$C$9</definedName>
    <definedName function="false" hidden="false" name="Flaeche_A" vbProcedure="false">'03 Flächenspiegel'!$F$44</definedName>
    <definedName function="false" hidden="false" name="Flaeche_B" vbProcedure="false">'03 Flächenspiegel'!$F$66</definedName>
    <definedName function="false" hidden="false" name="Flaeche_C" vbProcedure="false">'03 Flächenspiegel'!$F$88</definedName>
    <definedName function="false" hidden="false" name="Flaeche_E1" vbProcedure="false">'03 Flächenspiegel'!$F$93</definedName>
    <definedName function="false" hidden="false" name="Gesamtmiete_E1" vbProcedure="false">'11 Parkplätze &amp; Nebenerträge'!$D$36</definedName>
    <definedName function="false" hidden="false" name="Gesamtmiete_Total" vbProcedure="false">'11 Parkplätze &amp; Nebenerträge'!$F$36</definedName>
    <definedName function="false" hidden="false" name="GF_E1_Total" vbProcedure="false">'04 Gebäudekennzahlen'!$G$9</definedName>
    <definedName function="false" hidden="false" name="GS_E1" vbProcedure="false">'07 Grundstück'!$D$12</definedName>
    <definedName function="false" hidden="false" name="GS_E2" vbProcedure="false">'07 Grundstück'!$E$12</definedName>
    <definedName function="false" hidden="false" name="GS_Total" vbProcedure="false">'07 Grundstück'!$F$12</definedName>
    <definedName function="false" hidden="false" name="GV_E1_Total" vbProcedure="false">'04 Gebäudekennzahlen'!$G$12</definedName>
    <definedName function="false" hidden="false" name="GV_Total" vbProcedure="false">'06 Etappe 2'!$F$16</definedName>
    <definedName function="false" hidden="false" name="Hauser_E1" vbProcedure="false">'06 Etappe 2'!$E$6</definedName>
    <definedName function="false" hidden="false" name="Hauser_E2" vbProcedure="false">'06 Etappe 2'!$E$7</definedName>
    <definedName function="false" hidden="false" name="HNF_E1_Total" vbProcedure="false">'04 Gebäudekennzahlen'!$G$14</definedName>
    <definedName function="false" hidden="false" name="HNF_Total" vbProcedure="false">'06 Etappe 2'!$F$18</definedName>
    <definedName function="false" hidden="false" name="Invest_E1" vbProcedure="false">'05 Kostenschätzung'!$D$17</definedName>
    <definedName function="false" hidden="false" name="Invest_E2" vbProcedure="false">'05 Kostenschätzung'!$E$17</definedName>
    <definedName function="false" hidden="false" name="Invest_Total" vbProcedure="false">'05 Kostenschätzung'!$F$17</definedName>
    <definedName function="false" hidden="false" name="Landwert_E1" vbProcedure="false">'07 Grundstück'!$D$15</definedName>
    <definedName function="false" hidden="false" name="Landwert_E2" vbProcedure="false">'07 Grundstück'!$D$16</definedName>
    <definedName function="false" hidden="false" name="Landwert_eff_E1" vbProcedure="false">'05 Kostenschätzung'!$D$34</definedName>
    <definedName function="false" hidden="false" name="Landwert_eff_E2" vbProcedure="false">'05 Kostenschätzung'!$E$34</definedName>
    <definedName function="false" hidden="false" name="Landwert_eff_Total" vbProcedure="false">'05 Kostenschätzung'!$F$34</definedName>
    <definedName function="false" hidden="false" name="Landwert_Quote" vbProcedure="false">'05 Kostenschätzung'!$D$29</definedName>
    <definedName function="false" hidden="false" name="Landwert_Total" vbProcedure="false">'07 Grundstück'!$D$17</definedName>
    <definedName function="false" hidden="false" name="Leerstand" vbProcedure="false">'03 Flächenspiegel'!$E$24</definedName>
    <definedName function="false" hidden="false" name="Leerstand_E2" vbProcedure="false">'06 Etappe 2'!$E$10</definedName>
    <definedName function="false" hidden="false" name="Mietertrag_A" vbProcedure="false">'03 Flächenspiegel'!$H$44</definedName>
    <definedName function="false" hidden="false" name="Mietertrag_A_eff" vbProcedure="false">'03 Flächenspiegel'!$H$45</definedName>
    <definedName function="false" hidden="false" name="Mietertrag_B" vbProcedure="false">'03 Flächenspiegel'!$H$66</definedName>
    <definedName function="false" hidden="false" name="Mietertrag_B_eff" vbProcedure="false">'03 Flächenspiegel'!$H$67</definedName>
    <definedName function="false" hidden="false" name="Mietertrag_C" vbProcedure="false">'03 Flächenspiegel'!$H$88</definedName>
    <definedName function="false" hidden="false" name="Mietertrag_C_eff" vbProcedure="false">'03 Flächenspiegel'!$H$89</definedName>
    <definedName function="false" hidden="false" name="Mietertrag_E1_eff" vbProcedure="false">'03 Flächenspiegel'!$H$95</definedName>
    <definedName function="false" hidden="false" name="Mietertrag_E1_Methabau" vbProcedure="false">'03b Nebenflächen-Umlage'!$D$37</definedName>
    <definedName function="false" hidden="false" name="Mietertrag_E1_Soll" vbProcedure="false">'03 Flächenspiegel'!$H$94</definedName>
    <definedName function="false" hidden="false" name="Mietertrag_E2_eff" vbProcedure="false">'06 Etappe 2'!$E$20</definedName>
    <definedName function="false" hidden="false" name="Mietertrag_E2_Methabau" vbProcedure="false">'03b Nebenflächen-Umlage'!$F$37</definedName>
    <definedName function="false" hidden="false" name="Mietertrag_Total_eff" vbProcedure="false">'06 Etappe 2'!$F$20</definedName>
    <definedName function="false" hidden="false" name="Mietertrag_Total_Methabau" vbProcedure="false">'03b Nebenflächen-Umlage'!$H$37</definedName>
    <definedName function="false" hidden="false" name="Mietertrag_Total_Soll" vbProcedure="false">'06 Etappe 2'!$F$19</definedName>
    <definedName function="false" hidden="false" name="Miet_Faktor_E2" vbProcedure="false">'06 Etappe 2'!$E$9</definedName>
    <definedName function="false" hidden="false" name="Nebenertrag_E1" vbProcedure="false">'11 Parkplätze &amp; Nebenerträge'!$D$31</definedName>
    <definedName function="false" hidden="false" name="Nebenertrag_E2" vbProcedure="false">'11 Parkplätze &amp; Nebenerträge'!$E$31</definedName>
    <definedName function="false" hidden="false" name="Nebenertrag_Total" vbProcedure="false">'11 Parkplätze &amp; Nebenerträge'!$F$31</definedName>
    <definedName function="false" hidden="false" name="NettoRendite_E1" vbProcedure="false">'02 Renditeanalyse'!$C$29</definedName>
    <definedName function="false" hidden="false" name="NettoRendite_Total" vbProcedure="false">'02 Renditeanalyse'!$E$29</definedName>
    <definedName function="false" hidden="false" name="NF_Miete_E1" vbProcedure="false">'03b Nebenflächen-Umlage'!$D$35</definedName>
    <definedName function="false" hidden="false" name="NF_Miete_E2" vbProcedure="false">'03b Nebenflächen-Umlage'!$F$35</definedName>
    <definedName function="false" hidden="false" name="NF_Miete_Haus" vbProcedure="false">'03b Nebenflächen-Umlage'!$F$31</definedName>
    <definedName function="false" hidden="false" name="PP_Ertrag_E1" vbProcedure="false">'11 Parkplätze &amp; Nebenerträge'!$D$24</definedName>
    <definedName function="false" hidden="false" name="PP_Ertrag_E2" vbProcedure="false">'11 Parkplätze &amp; Nebenerträge'!$E$24</definedName>
    <definedName function="false" hidden="false" name="PP_Ertrag_Total" vbProcedure="false">'11 Parkplätze &amp; Nebenerträge'!$F$24</definedName>
    <definedName function="false" hidden="false" name="PV_Ertrag_E1" vbProcedure="false">'11 Parkplätze &amp; Nebenerträge'!$D$28</definedName>
    <definedName function="false" hidden="false" name="PV_Ertrag_E2" vbProcedure="false">'11 Parkplätze &amp; Nebenerträge'!$E$28</definedName>
    <definedName function="false" hidden="false" name="PV_Ertrag_Total" vbProcedure="false">'11 Parkplätze &amp; Nebenerträge'!$F$28</definedName>
    <definedName function="false" hidden="false" name="Tilgung" vbProcedure="false">'02 Renditeanalyse'!$C$10</definedName>
    <definedName function="false" hidden="false" name="Unterhalt_PCT" vbProcedure="false">'02 Renditeanalyse'!$C$7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<sst xmlns="http://schemas.openxmlformats.org/spreadsheetml/2006/main" count="1491" uniqueCount="781">
  <si>
    <t xml:space="preserve">Campus Elgg – Investoren-Memo &amp; Renditemodell</t>
  </si>
  <si>
    <t xml:space="preserve">Total Cost of Ownership · Flächenspiegel · Mietzinsmodell · Renditeanalyse</t>
  </si>
  <si>
    <t xml:space="preserve">Projekt</t>
  </si>
  <si>
    <t xml:space="preserve">Campus Elgg – Mischnutzung Gewerbe / Büro / Wotel</t>
  </si>
  <si>
    <t xml:space="preserve">Standort</t>
  </si>
  <si>
    <t xml:space="preserve">Elgg, Region Winterthur, Schweiz</t>
  </si>
  <si>
    <t xml:space="preserve">Erstellt für</t>
  </si>
  <si>
    <t xml:space="preserve">Zin Tetris AG / VR Viaholding AG</t>
  </si>
  <si>
    <t xml:space="preserve">Stand</t>
  </si>
  <si>
    <t xml:space="preserve">Mai 2026</t>
  </si>
  <si>
    <t xml:space="preserve">Quelle</t>
  </si>
  <si>
    <t xml:space="preserve">DEV_02_Campursus_TCO_Zin_InvestorenMemo.xlsx (Reiter «08 Quelldaten»)</t>
  </si>
  <si>
    <t xml:space="preserve">Inhalt der Arbeitsmappe</t>
  </si>
  <si>
    <t xml:space="preserve">01 Cockpit</t>
  </si>
  <si>
    <t xml:space="preserve">Executive Overview – KPIs, Investitionsvolumen, Mietertrag, Bruttorendite</t>
  </si>
  <si>
    <t xml:space="preserve">02 Renditeanalyse</t>
  </si>
  <si>
    <t xml:space="preserve">Sensitivität, Brutto-, Netto-, EK-Rendite</t>
  </si>
  <si>
    <t xml:space="preserve">03 Flächenspiegel</t>
  </si>
  <si>
    <t xml:space="preserve">Mietpreise pro m², änderbar pro Haus A/B/C, Aufteilung pro Geschoss</t>
  </si>
  <si>
    <t xml:space="preserve">04 Gebäudekennzahlen</t>
  </si>
  <si>
    <t xml:space="preserve">Geschossflächen (GF), Volumen (GV), Kennwerte je Haus</t>
  </si>
  <si>
    <t xml:space="preserve">05 Kostenschätzung</t>
  </si>
  <si>
    <t xml:space="preserve">Anlagekosten BKP 0–9, Total Investitionskosten und CHF/m² GF</t>
  </si>
  <si>
    <t xml:space="preserve">06 Etappe 2</t>
  </si>
  <si>
    <t xml:space="preserve">2. Etappe (3 weitere Häuser) – Ausweis Etappe 1 / 2 / Total</t>
  </si>
  <si>
    <t xml:space="preserve">07 Grundstück</t>
  </si>
  <si>
    <t xml:space="preserve">Platzhalter Grundstücksflächen, Landwerte, Ausnützung</t>
  </si>
  <si>
    <t xml:space="preserve">08 Quelldaten</t>
  </si>
  <si>
    <t xml:space="preserve">Originaldaten aus Tetris-Datei – unverändert, zur Nachvollziehbarkeit</t>
  </si>
  <si>
    <t xml:space="preserve">09 Prozess &amp; Next Steps</t>
  </si>
  <si>
    <t xml:space="preserve">Vorgehen, offene Punkte, nächste Arbeitsschritte</t>
  </si>
  <si>
    <t xml:space="preserve">Farbcode (Industrie-Standard Financial Modelling)</t>
  </si>
  <si>
    <t xml:space="preserve">Blaue Schrift</t>
  </si>
  <si>
    <t xml:space="preserve">Eingaben / Annahmen – können verändert werden</t>
  </si>
  <si>
    <t xml:space="preserve">Schwarze Schrift</t>
  </si>
  <si>
    <t xml:space="preserve">Formeln / berechnete Werte</t>
  </si>
  <si>
    <t xml:space="preserve">Grüne Schrift</t>
  </si>
  <si>
    <t xml:space="preserve">Verlinkung aus anderem Tabellenblatt</t>
  </si>
  <si>
    <t xml:space="preserve">Gelber Hintergrund</t>
  </si>
  <si>
    <t xml:space="preserve">Schlüsselannahmen – regelmässig prüfen</t>
  </si>
  <si>
    <t xml:space="preserve">Campus Elgg – Investoren-Cockpit</t>
  </si>
  <si>
    <t xml:space="preserve">Executive Overview: Investition · Mieten · Rendite – Etappe 1 vs. Gesamtprojekt</t>
  </si>
  <si>
    <t xml:space="preserve">ETAPPE 1 (3 Häuser)</t>
  </si>
  <si>
    <t xml:space="preserve">Anlagekosten Total</t>
  </si>
  <si>
    <t xml:space="preserve">Vermietbare Fläche</t>
  </si>
  <si>
    <t xml:space="preserve">Soll-Mietertrag p.a.</t>
  </si>
  <si>
    <t xml:space="preserve">BKP 0–9, 3 Häuser</t>
  </si>
  <si>
    <t xml:space="preserve">Hauptnutzfläche (HNF)</t>
  </si>
  <si>
    <t xml:space="preserve">Volle Vermietung</t>
  </si>
  <si>
    <t xml:space="preserve">Effektiv-Mietertrag p.a.</t>
  </si>
  <si>
    <t xml:space="preserve">Bruttorendite (eff.)</t>
  </si>
  <si>
    <t xml:space="preserve">Nettorendite</t>
  </si>
  <si>
    <t xml:space="preserve">Nach Mietausfall</t>
  </si>
  <si>
    <t xml:space="preserve">Effektivmiete / Invest</t>
  </si>
  <si>
    <t xml:space="preserve">NOI / Invest</t>
  </si>
  <si>
    <t xml:space="preserve">GESAMTPROJEKT (Etappe 1 + 2 = 6 Häuser)</t>
  </si>
  <si>
    <t xml:space="preserve">Gesamtes Projekt</t>
  </si>
  <si>
    <t xml:space="preserve">EK-Rendite</t>
  </si>
  <si>
    <t xml:space="preserve">Cash-on-Cash</t>
  </si>
  <si>
    <t xml:space="preserve">Übersichtstabelle Etappen</t>
  </si>
  <si>
    <t xml:space="preserve">Kennzahl</t>
  </si>
  <si>
    <t xml:space="preserve">Etappe 1</t>
  </si>
  <si>
    <t xml:space="preserve">Etappe 2</t>
  </si>
  <si>
    <t xml:space="preserve">Total Projekt</t>
  </si>
  <si>
    <t xml:space="preserve">Anlagekosten</t>
  </si>
  <si>
    <t xml:space="preserve">Effektiv-Mietertrag</t>
  </si>
  <si>
    <t xml:space="preserve">HNF (m²)</t>
  </si>
  <si>
    <t xml:space="preserve">Mietertrag pro Geschoss &amp; Haus (Etappe 1)</t>
  </si>
  <si>
    <t xml:space="preserve">Nutzungstyp</t>
  </si>
  <si>
    <t xml:space="preserve">Haus A</t>
  </si>
  <si>
    <t xml:space="preserve">Haus B</t>
  </si>
  <si>
    <t xml:space="preserve">Haus C</t>
  </si>
  <si>
    <t xml:space="preserve">Total E1</t>
  </si>
  <si>
    <t xml:space="preserve">EG (Gewerbe)</t>
  </si>
  <si>
    <t xml:space="preserve">OG (Büro/Gewerbe)</t>
  </si>
  <si>
    <t xml:space="preserve">AT (Wotel)</t>
  </si>
  <si>
    <t xml:space="preserve">UG (Lager)</t>
  </si>
  <si>
    <t xml:space="preserve">Haus</t>
  </si>
  <si>
    <t xml:space="preserve">Mietertrag</t>
  </si>
  <si>
    <t xml:space="preserve">Renditeanalyse – Brutto, Netto, EK-Rendite</t>
  </si>
  <si>
    <t xml:space="preserve">Auf Basis der berechneten Mieterträge und Investitionskosten. Eingaben in Blau/Gelb veränderbar.</t>
  </si>
  <si>
    <t xml:space="preserve">Annahmen Bewirtschaftung &amp; Finanzierung</t>
  </si>
  <si>
    <t xml:space="preserve">Bewirtschaftungskosten (% v. Soll-Mietzins)</t>
  </si>
  <si>
    <t xml:space="preserve">Hauswartung, Versicherung, Instandhaltung, Verwaltung</t>
  </si>
  <si>
    <t xml:space="preserve">Unterhalt / Erneuerung (% v. Soll-Mietzins)</t>
  </si>
  <si>
    <t xml:space="preserve">Rückstellungen</t>
  </si>
  <si>
    <t xml:space="preserve">Eigenkapital-Anteil</t>
  </si>
  <si>
    <t xml:space="preserve">30% EK gem. Bank-Anforderung Gewerbe</t>
  </si>
  <si>
    <t xml:space="preserve">Fremdkapital-Zinssatz</t>
  </si>
  <si>
    <t xml:space="preserve">Hypothek, aktuelles Niveau</t>
  </si>
  <si>
    <t xml:space="preserve">Tilgung (% v. FK p.a.)</t>
  </si>
  <si>
    <t xml:space="preserve">1% Amortisation</t>
  </si>
  <si>
    <t xml:space="preserve">Renditerechnung</t>
  </si>
  <si>
    <t xml:space="preserve">Position</t>
  </si>
  <si>
    <t xml:space="preserve">./. Mietausfall</t>
  </si>
  <si>
    <t xml:space="preserve">Σ Effektiv-Mietertrag</t>
  </si>
  <si>
    <t xml:space="preserve">./. Bewirtschaftungskosten</t>
  </si>
  <si>
    <t xml:space="preserve">./. Unterhalt / Erneuerung</t>
  </si>
  <si>
    <t xml:space="preserve">Σ Netto-Mietertrag (NOI)</t>
  </si>
  <si>
    <t xml:space="preserve">Investitionskosten (Anlage)</t>
  </si>
  <si>
    <t xml:space="preserve">Eigenkapital</t>
  </si>
  <si>
    <t xml:space="preserve">Fremdkapital</t>
  </si>
  <si>
    <t xml:space="preserve">FK-Zinsbelastung p.a.</t>
  </si>
  <si>
    <t xml:space="preserve">Rendite-Kennzahlen</t>
  </si>
  <si>
    <t xml:space="preserve">Bruttorendite (Soll-Mietertrag / Invest)</t>
  </si>
  <si>
    <t xml:space="preserve">Bruttorendite (Effektiv-Mietertrag)</t>
  </si>
  <si>
    <t xml:space="preserve">Nettorendite (NOI / Invest)</t>
  </si>
  <si>
    <t xml:space="preserve">Cash-on-Cash / EK-Rendite</t>
  </si>
  <si>
    <t xml:space="preserve">Sensitivitätsanalyse – Bruttorendite (Total Projekt)</t>
  </si>
  <si>
    <t xml:space="preserve">Variation Mietzins (Zeilen) × Variation Baukosten (Spalten)</t>
  </si>
  <si>
    <t xml:space="preserve">Miet / Baukosten</t>
  </si>
  <si>
    <t xml:space="preserve">Lesehilfe Sensitivität</t>
  </si>
  <si>
    <t xml:space="preserve">• Zeile = Mietzins-Variation, Spalte = Baukosten-Variation</t>
  </si>
  <si>
    <t xml:space="preserve">• Wert = Bruttorendite (Soll-Mietzins / Anlagekosten). Grün = hoch, Rot = tief.</t>
  </si>
  <si>
    <t xml:space="preserve">• Zentralwert (gelb hinterlegt) = aktuelle Annahme.</t>
  </si>
  <si>
    <t xml:space="preserve">Flächenspiegel &amp; Mietzinsmodell – Häuser A, B, C (1. Etappe)</t>
  </si>
  <si>
    <t xml:space="preserve">Eingaben (blau, gelb hinterlegt) sind veränderbar. Mietzinse pro m²/Jahr je Nutzung. Berechnung erfolgt automatisch.</t>
  </si>
  <si>
    <t xml:space="preserve">ANNAHMEN MIETZINS – Eingaben in CHF / m² / Jahr</t>
  </si>
  <si>
    <t xml:space="preserve">Nutzung</t>
  </si>
  <si>
    <t xml:space="preserve">Einheit</t>
  </si>
  <si>
    <t xml:space="preserve">Bemerkung</t>
  </si>
  <si>
    <t xml:space="preserve">EG Gewerbe – Premium (rot)</t>
  </si>
  <si>
    <t xml:space="preserve">CHF/m²/a</t>
  </si>
  <si>
    <t xml:space="preserve">Strassenseitig, Sichtlage</t>
  </si>
  <si>
    <t xml:space="preserve">EG Gewerbe – Standard (gelb)</t>
  </si>
  <si>
    <t xml:space="preserve">Standard-Strassenfront</t>
  </si>
  <si>
    <t xml:space="preserve">EG Gewerbe – Hofseite (blau)</t>
  </si>
  <si>
    <t xml:space="preserve">Hofseitig, leicht reduziert</t>
  </si>
  <si>
    <t xml:space="preserve">EG Gewerbe – Gross (grün/lila)</t>
  </si>
  <si>
    <t xml:space="preserve">Grossflächen ab 500 m²</t>
  </si>
  <si>
    <t xml:space="preserve">OG Büro – Premium (rot)</t>
  </si>
  <si>
    <t xml:space="preserve">Eckbüros mit Aussicht</t>
  </si>
  <si>
    <t xml:space="preserve">OG Büro – Standard (gelb)</t>
  </si>
  <si>
    <t xml:space="preserve">Standardbüros</t>
  </si>
  <si>
    <t xml:space="preserve">OG Büro – Standard (blau)</t>
  </si>
  <si>
    <t xml:space="preserve">OG Büro – Standard (grün)</t>
  </si>
  <si>
    <t xml:space="preserve">OG Gewerbe Gross (lila)</t>
  </si>
  <si>
    <t xml:space="preserve">Nur Haus C</t>
  </si>
  <si>
    <t xml:space="preserve">OG Gewerbe Gross (orange)</t>
  </si>
  <si>
    <t xml:space="preserve">AT Wotel 1 – klein (rot)</t>
  </si>
  <si>
    <t xml:space="preserve">Apartment-Hotel 25 m²</t>
  </si>
  <si>
    <t xml:space="preserve">AT Wotel 2 – medium (gelb)</t>
  </si>
  <si>
    <t xml:space="preserve">Apartment-Hotel 38 m²</t>
  </si>
  <si>
    <t xml:space="preserve">AT Wotel 3 – gross (blau)</t>
  </si>
  <si>
    <t xml:space="preserve">Apartment-Hotel 53 m²</t>
  </si>
  <si>
    <t xml:space="preserve">UG Gewerbe Lager – klein (rot)</t>
  </si>
  <si>
    <t xml:space="preserve">Lager-/Werkstattfläche</t>
  </si>
  <si>
    <t xml:space="preserve">UG Gewerbe Lager – medium (gelb)</t>
  </si>
  <si>
    <t xml:space="preserve">UG Gewerbe Lager – gross (blau)</t>
  </si>
  <si>
    <t xml:space="preserve">Mietausfall / Leerstand (Annahme alle Häuser)</t>
  </si>
  <si>
    <t xml:space="preserve">HAUS A – Flächenspiegel &amp; Mietertrag (Einzelgebäude)</t>
  </si>
  <si>
    <t xml:space="preserve">Geschoss</t>
  </si>
  <si>
    <t xml:space="preserve">Anzahl</t>
  </si>
  <si>
    <t xml:space="preserve">Fläche/Anz.</t>
  </si>
  <si>
    <t xml:space="preserve">Fläche Total</t>
  </si>
  <si>
    <t xml:space="preserve">Mietzins</t>
  </si>
  <si>
    <t xml:space="preserve">Mietertrag/a</t>
  </si>
  <si>
    <t xml:space="preserve">CHF/Monat</t>
  </si>
  <si>
    <t xml:space="preserve">Anteil</t>
  </si>
  <si>
    <t xml:space="preserve">EG</t>
  </si>
  <si>
    <t xml:space="preserve">Gewerbefläche 1 (rot)</t>
  </si>
  <si>
    <t xml:space="preserve">Gewerbefläche 2 (gelb)</t>
  </si>
  <si>
    <t xml:space="preserve">Gewerbefläche 3 (blau)</t>
  </si>
  <si>
    <t xml:space="preserve">Gewerbefläche 4 (grün/lila)</t>
  </si>
  <si>
    <t xml:space="preserve">OG</t>
  </si>
  <si>
    <t xml:space="preserve">Bürofläche 1 (rot)</t>
  </si>
  <si>
    <t xml:space="preserve">Bürofläche 2 (gelb)</t>
  </si>
  <si>
    <t xml:space="preserve">Bürofläche 3 (blau)</t>
  </si>
  <si>
    <t xml:space="preserve">Bürofläche 4 (grün)</t>
  </si>
  <si>
    <t xml:space="preserve">Gewerbefläche 5 (lila)</t>
  </si>
  <si>
    <t xml:space="preserve">Gewerbefläche 6 (orange)</t>
  </si>
  <si>
    <t xml:space="preserve">AT</t>
  </si>
  <si>
    <t xml:space="preserve">Wotel 1 – klein (rot)</t>
  </si>
  <si>
    <t xml:space="preserve">Wotel 2 – medium (gelb)</t>
  </si>
  <si>
    <t xml:space="preserve">Wotel 3 – gross (blau)</t>
  </si>
  <si>
    <t xml:space="preserve">UG</t>
  </si>
  <si>
    <t xml:space="preserve">Gewerbe Lager 1 (rot)</t>
  </si>
  <si>
    <t xml:space="preserve">Gewerbe Lager 2 (gelb)</t>
  </si>
  <si>
    <t xml:space="preserve">Gewerbe Lager 3 (blau)</t>
  </si>
  <si>
    <t xml:space="preserve">Total Haus A</t>
  </si>
  <si>
    <t xml:space="preserve">Mietertrag effektiv (nach Mietausfall)</t>
  </si>
  <si>
    <t xml:space="preserve">HAUS B – Flächenspiegel &amp; Mietertrag (Einzelgebäude)</t>
  </si>
  <si>
    <t xml:space="preserve">Total Haus B</t>
  </si>
  <si>
    <t xml:space="preserve">HAUS C – Flächenspiegel &amp; Mietertrag (Einzelgebäude)</t>
  </si>
  <si>
    <t xml:space="preserve">Total Haus C</t>
  </si>
  <si>
    <t xml:space="preserve">TOTAL ETAPPE 1 (Häuser A + B + C, 1 Gebäude jedes)</t>
  </si>
  <si>
    <t xml:space="preserve">Total vermietbare Fläche</t>
  </si>
  <si>
    <t xml:space="preserve">Total Soll-Mietertrag / Jahr</t>
  </si>
  <si>
    <t xml:space="preserve">Total Effektivmietertrag / Jahr (nach Mietausfall)</t>
  </si>
  <si>
    <t xml:space="preserve">Nebenflächen-Umlage – Methode Methabau (Leubern-Referenz)</t>
  </si>
  <si>
    <t xml:space="preserve">Methabau verteilt Mietkosten der allgemeinen Nebenflächen (Treppenhaus, WC, Erschliessung) anteilsmässig auf die Hauptnutzflächen. Eigene Preise je Nebenflächentyp.</t>
  </si>
  <si>
    <t xml:space="preserve">1. Methodenvergleich – Methabau vs. unsere bisherige Methode</t>
  </si>
  <si>
    <t xml:space="preserve">Kriterium</t>
  </si>
  <si>
    <t xml:space="preserve">Methabau (Leubern)</t>
  </si>
  <si>
    <t xml:space="preserve">Bisher Campus Elgg</t>
  </si>
  <si>
    <t xml:space="preserve">Empfehlung</t>
  </si>
  <si>
    <t xml:space="preserve">Flächendefinition</t>
  </si>
  <si>
    <t xml:space="preserve">Trennt strikt HNF (vermietbar) von allgemeinen Nebenflächen (Treppenhaus, WC, Technik); NGF = Bodenfläche ohne tragende Konstruktion</t>
  </si>
  <si>
    <t xml:space="preserve">Aggregiert vermietbare Flächen pro Geschoss, Nebenflächen implizit</t>
  </si>
  <si>
    <t xml:space="preserve">✓ Methabau-Methode übernehmen</t>
  </si>
  <si>
    <t xml:space="preserve">Mietpreis Hauptnutzfläche</t>
  </si>
  <si>
    <t xml:space="preserve">Marktpreis CHF/m²/Jahr je Nutzung (Büro 170, Gewerbe 205-340, Wotel z.B. CHF 950/Zimmer)</t>
  </si>
  <si>
    <t xml:space="preserve">CHF/m²/Jahr je Geschoss × Anzahl Einheiten</t>
  </si>
  <si>
    <t xml:space="preserve">Beide Ansätze sind kompatibel</t>
  </si>
  <si>
    <t xml:space="preserve">Mietpreis Nebenflächen</t>
  </si>
  <si>
    <t xml:space="preserve">Eigene Preise: Treppenhaus/Erschliessung 80 CHF/m², WC 100-220 CHF/m², Technik 0 CHF/m²</t>
  </si>
  <si>
    <t xml:space="preserve">Keine separate Behandlung, Verteilung nur über Anzahl-Multiplikator</t>
  </si>
  <si>
    <t xml:space="preserve">✓ Separate Preise je NF-Typ einführen</t>
  </si>
  <si>
    <t xml:space="preserve">Verteilung der Nebenflächen-Miete</t>
  </si>
  <si>
    <t xml:space="preserve">Anteilsmässig auf Hauptnutzflächen (Nettoflächenwert-Aufteilung)</t>
  </si>
  <si>
    <t xml:space="preserve">Implizit pauschal in Mietpreis HNF einkalkuliert</t>
  </si>
  <si>
    <t xml:space="preserve">✓ Explizite Umlage erhöht Transparenz</t>
  </si>
  <si>
    <t xml:space="preserve">Transparenz für Mieter</t>
  </si>
  <si>
    <t xml:space="preserve">Mieter sieht klar: x CHF für HNF + y CHF Anteil Nebenflächen</t>
  </si>
  <si>
    <t xml:space="preserve">Mieter sieht nur Endbetrag</t>
  </si>
  <si>
    <t xml:space="preserve">✓ Methabau-Methode ist marktüblicher in CH</t>
  </si>
  <si>
    <t xml:space="preserve">Vorteil für Investor</t>
  </si>
  <si>
    <t xml:space="preserve">Höhere Vermietbarkeit, klare Kalkulation, mehr Flexibilität bei Mietzinsanpassung</t>
  </si>
  <si>
    <t xml:space="preserve">Einfacher zu modellieren, aber weniger steuerbar</t>
  </si>
  <si>
    <t xml:space="preserve">✓ Methabau-Methode empfohlen</t>
  </si>
  <si>
    <t xml:space="preserve">2. Annahmen Nebenflächen-Preise (Methabau-Methode auf Campus Elgg)</t>
  </si>
  <si>
    <t xml:space="preserve">Nebenflächentyp</t>
  </si>
  <si>
    <t xml:space="preserve">CHF/m²/Jahr</t>
  </si>
  <si>
    <t xml:space="preserve">Anteil m² je Haus (ø)</t>
  </si>
  <si>
    <t xml:space="preserve">Treppenhaus / Erschliessungskorridor</t>
  </si>
  <si>
    <t xml:space="preserve">m²/Jahr</t>
  </si>
  <si>
    <t xml:space="preserve">Verkehrsfläche – Methabau-Standard</t>
  </si>
  <si>
    <t xml:space="preserve">Sanitäre Anlagen (WC H/D/IV)</t>
  </si>
  <si>
    <t xml:space="preserve">Vom Mieter mitbenutzt</t>
  </si>
  <si>
    <t xml:space="preserve">Schleuse / Vorraum</t>
  </si>
  <si>
    <t xml:space="preserve">Anteil Erschliessung</t>
  </si>
  <si>
    <t xml:space="preserve">Technikraum</t>
  </si>
  <si>
    <t xml:space="preserve">Technik nicht vermietbar</t>
  </si>
  <si>
    <t xml:space="preserve">Lager- / Putzraum (allgemein)</t>
  </si>
  <si>
    <t xml:space="preserve">Geringere Wertigkeit</t>
  </si>
  <si>
    <t xml:space="preserve">3. Berechnung Mietkosten Nebenflächen pro Haus</t>
  </si>
  <si>
    <t xml:space="preserve">Fläche m²</t>
  </si>
  <si>
    <t xml:space="preserve">Total Mietkosten/a</t>
  </si>
  <si>
    <t xml:space="preserve">Verteilung auf HNF</t>
  </si>
  <si>
    <t xml:space="preserve">Treppenhaus / Erschliessung</t>
  </si>
  <si>
    <t xml:space="preserve">anteilsmässig auf HNF</t>
  </si>
  <si>
    <t xml:space="preserve">Pro Haus, Mittel über alle Geschosse</t>
  </si>
  <si>
    <t xml:space="preserve">Sanitäre Anlagen (WC)</t>
  </si>
  <si>
    <t xml:space="preserve">Mitbenutzung Mieter</t>
  </si>
  <si>
    <t xml:space="preserve">Funktionsfläche</t>
  </si>
  <si>
    <t xml:space="preserve">Nicht vermietet (0 CHF)</t>
  </si>
  <si>
    <t xml:space="preserve">Lager / Putzraum</t>
  </si>
  <si>
    <t xml:space="preserve">Allg. Nutzung</t>
  </si>
  <si>
    <t xml:space="preserve">TOTAL Nebenflächen-Miete / Haus / Jahr</t>
  </si>
  <si>
    <t xml:space="preserve">4. Hochrechnung Etappe 1 (3 Häuser) und Total Projekt</t>
  </si>
  <si>
    <t xml:space="preserve">Etappe 1 (3 Häuser)</t>
  </si>
  <si>
    <t xml:space="preserve">Etappe 2 (3 Häuser)</t>
  </si>
  <si>
    <t xml:space="preserve">Nebenflächen-Miete (Methabau-Methode)</t>
  </si>
  <si>
    <t xml:space="preserve">wird auf HNF umgelegt</t>
  </si>
  <si>
    <t xml:space="preserve">Soll-Mietertrag HNF (bisher Modell)</t>
  </si>
  <si>
    <t xml:space="preserve">ohne Nebenflächen-Umlage</t>
  </si>
  <si>
    <t xml:space="preserve">Soll-Mietertrag GESAMT (mit Umlage)</t>
  </si>
  <si>
    <t xml:space="preserve">→ neue Berechnungsbasis</t>
  </si>
  <si>
    <t xml:space="preserve">5. Gegenüberstellung: Bisheriges Modell vs. Methabau-Methode (Etappe 1)</t>
  </si>
  <si>
    <t xml:space="preserve">Bisher (Modell V1)</t>
  </si>
  <si>
    <t xml:space="preserve">Mit Umlage (Methabau)</t>
  </si>
  <si>
    <t xml:space="preserve">Delta</t>
  </si>
  <si>
    <t xml:space="preserve">Anlagekosten (BKP 0-9, Fixwert)</t>
  </si>
  <si>
    <t xml:space="preserve">Bruttorendite (Soll/Invest)</t>
  </si>
  <si>
    <t xml:space="preserve">EMPFEHLUNG:
Die Methabau-Methode (explizite Trennung HNF / Nebenflächen mit eigenen Preisen) ist marktüblicher und bietet höhere Transparenz für Mieter und Investoren. Sie sollte als Standard für Campus Elgg übernommen werden.
Vorteile:
• Mietverträge sind klarer strukturiert (Mieter sieht: x m² HNF zu CHF/m² + Anteil Nebenflächen)
• Bei Mietzinsanpassungen kann differenziert vorgegangen werden
• Vergleichbarkeit mit anderen Schweizer Gewerbeprojekten höher
• Ergibt bei gleichen Marktpreisen einen leicht höheren Mietertrag (Mehrwert ~3-5%)
Nächster Schritt: Im 03 Flächenspiegel die Nebenflächen-Preise separat einsetzen und in 03b die Verteilung definieren.</t>
  </si>
  <si>
    <t xml:space="preserve">Gebäudekennzahlen – Flächen, Volumen, Nutzungsverteilung</t>
  </si>
  <si>
    <t xml:space="preserve">Übersicht GF (Geschossfläche), GV (Geschossvolumen), HNF (Hauptnutzfläche). Werte aus Quelldaten (Tetris/Skyline Architekten).</t>
  </si>
  <si>
    <t xml:space="preserve">1. Gebäudekennwerte pro Haus (1. Etappe – 1 Gebäude je Haus)</t>
  </si>
  <si>
    <t xml:space="preserve">Kennwert</t>
  </si>
  <si>
    <t xml:space="preserve">Total E1 (3 Häuser)</t>
  </si>
  <si>
    <t xml:space="preserve">Ø pro Haus</t>
  </si>
  <si>
    <t xml:space="preserve">Geschossfläche oi (Total)</t>
  </si>
  <si>
    <t xml:space="preserve">m²</t>
  </si>
  <si>
    <t xml:space="preserve">EG+OG+AT+DA</t>
  </si>
  <si>
    <t xml:space="preserve">Geschossfläche ui (Total)</t>
  </si>
  <si>
    <t xml:space="preserve">UG + FU</t>
  </si>
  <si>
    <t xml:space="preserve">Geschossfläche oi+ui (gesamt)</t>
  </si>
  <si>
    <t xml:space="preserve">GF Total Quelldaten / 3</t>
  </si>
  <si>
    <t xml:space="preserve">Geschossvolumen oi</t>
  </si>
  <si>
    <t xml:space="preserve">m³</t>
  </si>
  <si>
    <t xml:space="preserve">Volumen oberirdisch</t>
  </si>
  <si>
    <t xml:space="preserve">Geschossvolumen ui</t>
  </si>
  <si>
    <t xml:space="preserve">Volumen unterirdisch</t>
  </si>
  <si>
    <t xml:space="preserve">Geschossvolumen Total (GV)</t>
  </si>
  <si>
    <t xml:space="preserve">Massgeblich für Kostenschätzung</t>
  </si>
  <si>
    <t xml:space="preserve">Werkleitungskulisse</t>
  </si>
  <si>
    <t xml:space="preserve">Anteilig</t>
  </si>
  <si>
    <t xml:space="preserve">Vermietbare Fläche oi (HNF)</t>
  </si>
  <si>
    <t xml:space="preserve">ohne Sitzungs-/Gemeinschaftsr.</t>
  </si>
  <si>
    <t xml:space="preserve">Vermietbare Fläche oi (mit Allg.)</t>
  </si>
  <si>
    <t xml:space="preserve">mit allgemeinen Räumen</t>
  </si>
  <si>
    <t xml:space="preserve">Anzahl Geschosse (oi)</t>
  </si>
  <si>
    <t xml:space="preserve">Stk</t>
  </si>
  <si>
    <t xml:space="preserve">EG, OG, AT, DA</t>
  </si>
  <si>
    <t xml:space="preserve">Anzahl Geschosse (ui)</t>
  </si>
  <si>
    <t xml:space="preserve">UG, FU</t>
  </si>
  <si>
    <t xml:space="preserve">2. Flächenverteilung nach Nutzungstyp (Total Etappe 1)</t>
  </si>
  <si>
    <t xml:space="preserve">Beschreibung</t>
  </si>
  <si>
    <t xml:space="preserve">HNF</t>
  </si>
  <si>
    <t xml:space="preserve">Hauptnutzfläche (vermietbar)</t>
  </si>
  <si>
    <t xml:space="preserve">NNF</t>
  </si>
  <si>
    <t xml:space="preserve">Nebennutzfläche (UG-Lager, WK, Nasszellen)</t>
  </si>
  <si>
    <t xml:space="preserve">VF</t>
  </si>
  <si>
    <t xml:space="preserve">Verkehrsfläche (intern + aussen)</t>
  </si>
  <si>
    <t xml:space="preserve">FF</t>
  </si>
  <si>
    <t xml:space="preserve">Funktionsfläche (Technik)</t>
  </si>
  <si>
    <t xml:space="preserve">KF</t>
  </si>
  <si>
    <t xml:space="preserve">Konstruktionsfläche</t>
  </si>
  <si>
    <t xml:space="preserve">Total</t>
  </si>
  <si>
    <t xml:space="preserve">Kostenschätzung – Anlagekosten BKP (Fixwerte gem. KV März 2026)</t>
  </si>
  <si>
    <t xml:space="preserve">Werte gemäss Kostenvoranschlag Campus Elgg, Stand März 2026. BKP 0 (Grundstück) und alle weiteren Positionen sind fix vorgegeben.</t>
  </si>
  <si>
    <t xml:space="preserve">BKP-Übersicht Etappe 1 / Etappe 2 / Total</t>
  </si>
  <si>
    <t xml:space="preserve">BKP</t>
  </si>
  <si>
    <t xml:space="preserve">Bezeichnung</t>
  </si>
  <si>
    <t xml:space="preserve">BKP 0</t>
  </si>
  <si>
    <t xml:space="preserve">Grundstückskosten</t>
  </si>
  <si>
    <t xml:space="preserve">Inkl. Erwerbsnebenkosten</t>
  </si>
  <si>
    <t xml:space="preserve">BKP 1</t>
  </si>
  <si>
    <t xml:space="preserve">Vorbereitungsarbeiten</t>
  </si>
  <si>
    <t xml:space="preserve">Abbruch, Aushub, Werkleitungen</t>
  </si>
  <si>
    <t xml:space="preserve">BKP 2</t>
  </si>
  <si>
    <t xml:space="preserve">Gebäudekosten</t>
  </si>
  <si>
    <t xml:space="preserve">Massgeblicher Kostenblock</t>
  </si>
  <si>
    <t xml:space="preserve">BKP 3</t>
  </si>
  <si>
    <t xml:space="preserve">Honorare GU Tiefbau</t>
  </si>
  <si>
    <t xml:space="preserve">BKP 4</t>
  </si>
  <si>
    <t xml:space="preserve">Betriebseinrichtungen</t>
  </si>
  <si>
    <t xml:space="preserve">Nicht budgetiert</t>
  </si>
  <si>
    <t xml:space="preserve">BKP 5</t>
  </si>
  <si>
    <t xml:space="preserve">Baunebenkosten</t>
  </si>
  <si>
    <t xml:space="preserve">Bewilligungen, Versicherungen</t>
  </si>
  <si>
    <t xml:space="preserve">BKP 6</t>
  </si>
  <si>
    <t xml:space="preserve">Reserve (nicht budgetiert)</t>
  </si>
  <si>
    <t xml:space="preserve">Reserve nicht eingestellt</t>
  </si>
  <si>
    <t xml:space="preserve">BKP 7</t>
  </si>
  <si>
    <t xml:space="preserve">Ausstattung (nicht budgetiert)</t>
  </si>
  <si>
    <t xml:space="preserve">Wird durch Mieter erstellt</t>
  </si>
  <si>
    <t xml:space="preserve">BKP 8</t>
  </si>
  <si>
    <t xml:space="preserve">Verkauf &amp; Vermarktung</t>
  </si>
  <si>
    <t xml:space="preserve">Marketing, Vermarktung</t>
  </si>
  <si>
    <t xml:space="preserve">BKP 9</t>
  </si>
  <si>
    <t xml:space="preserve">Bauherrenkosten</t>
  </si>
  <si>
    <t xml:space="preserve">PM, Projektsteuerung</t>
  </si>
  <si>
    <t xml:space="preserve">TOTAL ANLAGEKOSTEN</t>
  </si>
  <si>
    <t xml:space="preserve">Finanzierungsstruktur (gem. KV)</t>
  </si>
  <si>
    <t xml:space="preserve">29 Mio. Total</t>
  </si>
  <si>
    <t xml:space="preserve">46 Mio. Total</t>
  </si>
  <si>
    <t xml:space="preserve">EK-Quote (berechnet)</t>
  </si>
  <si>
    <t xml:space="preserve">Landwert-Sicht: BKP-Reklassifikation für Investorenargumentation</t>
  </si>
  <si>
    <t xml:space="preserve">Argumentation: 80% der Vorbereitungsarbeiten (BKP 1) sind Quartierplan-, Erschliessungs- und Entwicklungskosten – wirtschaftlich Teil des Landwerts. Wir leiten diese rechnerisch zu BKP 0 um, um den effektiven Landwert pro m² zu zeigen.</t>
  </si>
  <si>
    <t xml:space="preserve">Umlagerungs-Quote BKP 1 → BKP 0</t>
  </si>
  <si>
    <t xml:space="preserve">Anteil Quartierplan / Erschliessung</t>
  </si>
  <si>
    <t xml:space="preserve">BKP 0 ursprünglich (KV)</t>
  </si>
  <si>
    <t xml:space="preserve">BKP 1 ursprünglich (KV)</t>
  </si>
  <si>
    <t xml:space="preserve">Umlagerung (80% von BKP 1)</t>
  </si>
  <si>
    <t xml:space="preserve">BKP 0 NEU (effektiver Landwert)</t>
  </si>
  <si>
    <t xml:space="preserve">BKP 1 NEU (reine Bauvorbereitung)</t>
  </si>
  <si>
    <t xml:space="preserve">Impliziter Landwert pro m² (effektiv)</t>
  </si>
  <si>
    <t xml:space="preserve">Marktnah CHF 650-800/m² Region Winterthur</t>
  </si>
  <si>
    <t xml:space="preserve">Etappenplanung – Etappe 1, Etappe 2, Gesamtprojekt</t>
  </si>
  <si>
    <t xml:space="preserve">Etappe 2 = 3 weitere Häuser (Verdoppelung). Annahmen für Skalierung sind veränderbar (Baukosten-Indexierung, Mietzins-Steigerung).</t>
  </si>
  <si>
    <t xml:space="preserve">Annahmen Skalierung Etappe 2</t>
  </si>
  <si>
    <t xml:space="preserve">Anzahl Häuser Etappe 1</t>
  </si>
  <si>
    <t xml:space="preserve">Häuser A, B, C</t>
  </si>
  <si>
    <t xml:space="preserve">Anzahl Häuser Etappe 2</t>
  </si>
  <si>
    <t xml:space="preserve">3 weitere Gebäude (z.B. D, E, F)</t>
  </si>
  <si>
    <t xml:space="preserve">Baukosten-Faktor Etappe 2</t>
  </si>
  <si>
    <t xml:space="preserve">Indexierung gegenüber E1 (z.B. +4%)</t>
  </si>
  <si>
    <t xml:space="preserve">Mietzins-Faktor Etappe 2</t>
  </si>
  <si>
    <t xml:space="preserve">Annahme Mietzinssteigerung (z.B. +2%)</t>
  </si>
  <si>
    <t xml:space="preserve">Leerstand Etappe 2 (Anlauf)</t>
  </si>
  <si>
    <t xml:space="preserve">Höhere Anlaufquote – Vermietung beginnt</t>
  </si>
  <si>
    <t xml:space="preserve">Zusammenstellung Etappe 1 / Etappe 2 / Total</t>
  </si>
  <si>
    <t xml:space="preserve">Anzahl Häuser</t>
  </si>
  <si>
    <t xml:space="preserve">Geschossvolumen GV</t>
  </si>
  <si>
    <t xml:space="preserve">Annahme: gleiche Bauweise</t>
  </si>
  <si>
    <t xml:space="preserve">Geschossfläche GF</t>
  </si>
  <si>
    <t xml:space="preserve">Hauptnutzfläche HNF (vermietbar)</t>
  </si>
  <si>
    <t xml:space="preserve">CHF</t>
  </si>
  <si>
    <t xml:space="preserve">E2 indexiert</t>
  </si>
  <si>
    <t xml:space="preserve">E1 mit 5%, E2 mit Anlauf-Leerstand</t>
  </si>
  <si>
    <t xml:space="preserve">Anlagekosten (Investitionskosten)</t>
  </si>
  <si>
    <t xml:space="preserve">Grundstück – Parzellen, Flächen, Landwerte (Katasterplan März 2026)</t>
  </si>
  <si>
    <t xml:space="preserve">Grundstücksdaten aus dem Katasterplan 010 (Tetris AG / Urbanstreet AG). Liegenschaften: Obermühle, 8353 Elgg.</t>
  </si>
  <si>
    <t xml:space="preserve">1. Parzellenstruktur Etappe 1 und Etappe 2</t>
  </si>
  <si>
    <t xml:space="preserve">Teilfläche Bauland Nord</t>
  </si>
  <si>
    <t xml:space="preserve">Hauptbauland E1</t>
  </si>
  <si>
    <t xml:space="preserve">Teilfläche Bauland Süd</t>
  </si>
  <si>
    <t xml:space="preserve">Erweiterung E1</t>
  </si>
  <si>
    <t xml:space="preserve">Subtotal Bauland</t>
  </si>
  <si>
    <t xml:space="preserve">Summe Bauland</t>
  </si>
  <si>
    <t xml:space="preserve">Landwirtschaftsland (nur E1)</t>
  </si>
  <si>
    <t xml:space="preserve">Nicht bebaubar</t>
  </si>
  <si>
    <t xml:space="preserve">Bauland Etappe 2</t>
  </si>
  <si>
    <t xml:space="preserve">Ostseite Obermühle</t>
  </si>
  <si>
    <t xml:space="preserve">TOTAL Grundstücksfläche Bauland</t>
  </si>
  <si>
    <t xml:space="preserve">Nur bebaubares Land</t>
  </si>
  <si>
    <t xml:space="preserve">2. Landwert-Berechnung</t>
  </si>
  <si>
    <t xml:space="preserve">Bauland-Fläche</t>
  </si>
  <si>
    <t xml:space="preserve">Bauland gem. Katasterplan</t>
  </si>
  <si>
    <t xml:space="preserve">BKP 0 Grundstückskosten (KV)</t>
  </si>
  <si>
    <t xml:space="preserve">Aus KV-Tabelle BKP 0</t>
  </si>
  <si>
    <t xml:space="preserve">Impliziter Landwert pro m²</t>
  </si>
  <si>
    <t xml:space="preserve">CHF/m²</t>
  </si>
  <si>
    <t xml:space="preserve">Plausibilitätscheck Marktpreis</t>
  </si>
  <si>
    <t xml:space="preserve">Marktreferenz Landwert (zu validieren)</t>
  </si>
  <si>
    <t xml:space="preserve">Region Winterthur Gewerbezone</t>
  </si>
  <si>
    <t xml:space="preserve">3. Ausnützung und Bebaubarkeit</t>
  </si>
  <si>
    <t xml:space="preserve">Ausnützungsziffer (AZ) Gewerbezone</t>
  </si>
  <si>
    <t xml:space="preserve">—</t>
  </si>
  <si>
    <t xml:space="preserve">Annahme BZO Elgg, zu validieren</t>
  </si>
  <si>
    <t xml:space="preserve">Realisierte GF (E1)</t>
  </si>
  <si>
    <t xml:space="preserve">Aus 04 Gebäudekennzahlen</t>
  </si>
  <si>
    <t xml:space="preserve">Theor. max. anrechenbare GF (= AZ × Grundstück)</t>
  </si>
  <si>
    <t xml:space="preserve">Bauland × AZ</t>
  </si>
  <si>
    <t xml:space="preserve">Auslastungsgrad</t>
  </si>
  <si>
    <t xml:space="preserve">%</t>
  </si>
  <si>
    <t xml:space="preserve">Realisierte GF / max. GF</t>
  </si>
  <si>
    <t xml:space="preserve">FLÄCHEN-CHECK aus Katasterplan 010 (Stand 09.03.2026):
• Etappe 1 Bauland: 11'370.31 m² (6'412.64 + 4'957.67) + 2'255.87 m² Landwirtschaftsland
• Etappe 2 Bauland: 13'460.68 m² (Ostseite Obermühle)
• Total Bauland: 24'830.99 m² – impliziter Landwert aus BKP 0 = CHF 604/m²
Plausibilitätscheck: Marktreferenz Region Winterthur Gewerbezone CHF 650-800/m² – KV-Wert im unteren Bereich.</t>
  </si>
  <si>
    <t xml:space="preserve">Quelldaten – Original aus DEV_02_Campursus_TCO_Zin_InvestorenMemo.xlsx, Reiter «Projektdaten»</t>
  </si>
  <si>
    <t xml:space="preserve">Diese Daten sind die Berechnungsgrundlage. Nicht überschreiben – sie dienen der Nachvollziehbarkeit. Berechnungen erfolgen in den anderen Reitern.</t>
  </si>
  <si>
    <t xml:space="preserve">Campus Elgg</t>
  </si>
  <si>
    <t xml:space="preserve">Flächen und Volumen</t>
  </si>
  <si>
    <t xml:space="preserve">*Kopie Vermarktung für TCO im Tetris AG Ablage"</t>
  </si>
  <si>
    <t xml:space="preserve">1. Etappe</t>
  </si>
  <si>
    <t xml:space="preserve">1. + 2. Etappe</t>
  </si>
  <si>
    <t xml:space="preserve">1 Gewerbehaus</t>
  </si>
  <si>
    <t xml:space="preserve">Gewerbehäuser</t>
  </si>
  <si>
    <t xml:space="preserve">Geschoss oi</t>
  </si>
  <si>
    <t xml:space="preserve">GF m²</t>
  </si>
  <si>
    <t xml:space="preserve">GH m</t>
  </si>
  <si>
    <t xml:space="preserve">GV m³</t>
  </si>
  <si>
    <t xml:space="preserve">Gewerbe</t>
  </si>
  <si>
    <t xml:space="preserve">Eingang Ost/West</t>
  </si>
  <si>
    <t xml:space="preserve">Büro</t>
  </si>
  <si>
    <t xml:space="preserve">Wotel</t>
  </si>
  <si>
    <t xml:space="preserve">DA</t>
  </si>
  <si>
    <t xml:space="preserve">Liftüberfahrt Ost/West</t>
  </si>
  <si>
    <t xml:space="preserve">Geschoss ui</t>
  </si>
  <si>
    <t xml:space="preserve">FU</t>
  </si>
  <si>
    <t xml:space="preserve">Liftunterfahrt Ost/West</t>
  </si>
  <si>
    <t xml:space="preserve">Geschoss oi+ui</t>
  </si>
  <si>
    <t xml:space="preserve">Total Werkleitungskulisse</t>
  </si>
  <si>
    <t xml:space="preserve">A+B+C</t>
  </si>
  <si>
    <t xml:space="preserve">Total vermietbare Fläche oi</t>
  </si>
  <si>
    <t xml:space="preserve">ohne Sitzungsräume im OG und Gemeinschaftsräume im AT, mit diesen &gt;</t>
  </si>
  <si>
    <t xml:space="preserve">CAD sup &gt;</t>
  </si>
  <si>
    <t xml:space="preserve">(o. Stützen)</t>
  </si>
  <si>
    <t xml:space="preserve">Flächentyp</t>
  </si>
  <si>
    <t xml:space="preserve">Fläche/Anz. m²</t>
  </si>
  <si>
    <t xml:space="preserve">Fläche/Total m²</t>
  </si>
  <si>
    <t xml:space="preserve">Anteil GF/Anz</t>
  </si>
  <si>
    <t xml:space="preserve">Anteil GF/Total</t>
  </si>
  <si>
    <t xml:space="preserve">Anteil UG/Anz</t>
  </si>
  <si>
    <t xml:space="preserve">Anteil UG/Total</t>
  </si>
  <si>
    <t xml:space="preserve">Inkl. Alles/Anz</t>
  </si>
  <si>
    <t xml:space="preserve">Inkl. Alles/Total</t>
  </si>
  <si>
    <t xml:space="preserve">% Aufschlag</t>
  </si>
  <si>
    <t xml:space="preserve">CHF/a/Total</t>
  </si>
  <si>
    <t xml:space="preserve">CHF/m/Total</t>
  </si>
  <si>
    <t xml:space="preserve">Total EG</t>
  </si>
  <si>
    <t xml:space="preserve">Gwerbefläche 4 (grün)</t>
  </si>
  <si>
    <t xml:space="preserve">Verkehrsfläche (grau)</t>
  </si>
  <si>
    <t xml:space="preserve">Allg. Flächen zu verteilen</t>
  </si>
  <si>
    <t xml:space="preserve">CHF/a/Anz</t>
  </si>
  <si>
    <t xml:space="preserve">CHF/m/Anz</t>
  </si>
  <si>
    <t xml:space="preserve">Total OG</t>
  </si>
  <si>
    <t xml:space="preserve">(Ohne Terrasse = </t>
  </si>
  <si>
    <t xml:space="preserve">Sitzungszimmer/Räume</t>
  </si>
  <si>
    <t xml:space="preserve">Aussenverkehrsfläche (grau)</t>
  </si>
  <si>
    <t xml:space="preserve">AVF</t>
  </si>
  <si>
    <t xml:space="preserve">Total AT</t>
  </si>
  <si>
    <t xml:space="preserve">Wotel 1 (rot)</t>
  </si>
  <si>
    <t xml:space="preserve">Wotel 2 (gelb)</t>
  </si>
  <si>
    <t xml:space="preserve">Wotel 3 (blau)</t>
  </si>
  <si>
    <t xml:space="preserve">Gemeinschaftsräume</t>
  </si>
  <si>
    <t xml:space="preserve">Total UG</t>
  </si>
  <si>
    <t xml:space="preserve">Verkehrsfläche</t>
  </si>
  <si>
    <t xml:space="preserve">Waschküche</t>
  </si>
  <si>
    <t xml:space="preserve">Nasszellen</t>
  </si>
  <si>
    <t xml:space="preserve">Konstruktionsfläche/WK</t>
  </si>
  <si>
    <t xml:space="preserve">Gewerbefläche 1 (lila)</t>
  </si>
  <si>
    <t xml:space="preserve">Gewerbefläche 1 (grün)</t>
  </si>
  <si>
    <t xml:space="preserve">1 Haus (C)</t>
  </si>
  <si>
    <t xml:space="preserve">Total A/B/C</t>
  </si>
  <si>
    <t xml:space="preserve">3 Häuser (A+B+C)</t>
  </si>
  <si>
    <t xml:space="preserve">Prozess-Dokumentation &amp; nächste Schritte</t>
  </si>
  <si>
    <t xml:space="preserve">Vorgehen, getroffene Annahmen, offene Punkte – als Grundlage für VR-Sitzung und Investorengespräche.</t>
  </si>
  <si>
    <t xml:space="preserve">1. Modellaufbau &amp; Datenherkunft</t>
  </si>
  <si>
    <t xml:space="preserve">1. Datenquelle</t>
  </si>
  <si>
    <t xml:space="preserve">DEV_02_Campursus_TCO_Zin_InvestorenMemo.xlsx</t>
  </si>
  <si>
    <t xml:space="preserve">Quelldatei Tetris AG – komplett in 08 Quelldaten gespiegelt</t>
  </si>
  <si>
    <t xml:space="preserve">2. Flächendaten</t>
  </si>
  <si>
    <t xml:space="preserve">Geschossflächen oi/ui, Volumen, vermietbare Flächen</t>
  </si>
  <si>
    <t xml:space="preserve">Pro Geschoss EG/OG/AT/UG pro Haus extrahiert</t>
  </si>
  <si>
    <t xml:space="preserve">3. Mietzinsannahmen</t>
  </si>
  <si>
    <t xml:space="preserve">EG: 140–150 CHF/m², OG: 170–175, AT (Wotel): 370–400, UG: 90</t>
  </si>
  <si>
    <t xml:space="preserve">Werte aus Quelldaten übernommen – pro Haus separat veränderbar</t>
  </si>
  <si>
    <t xml:space="preserve">4. Leerstand</t>
  </si>
  <si>
    <t xml:space="preserve">5% (E1) / 10% Anlauf (E2)</t>
  </si>
  <si>
    <t xml:space="preserve">Marktüblich für gewerbliche Vermietung</t>
  </si>
  <si>
    <t xml:space="preserve">5. Baukostenstruktur</t>
  </si>
  <si>
    <t xml:space="preserve">BKP 0–9 (Schweizer Baukostenplan)</t>
  </si>
  <si>
    <t xml:space="preserve">BKP 2 (Gebäude) als Kernblock CHF/m³ GV – marktübliche Kennwerte</t>
  </si>
  <si>
    <t xml:space="preserve">6. Etappierung</t>
  </si>
  <si>
    <t xml:space="preserve">E1 = 3 Häuser (A,B,C), E2 = 3 weitere</t>
  </si>
  <si>
    <t xml:space="preserve">Skalierungsfaktoren Baukosten +4%, Mietzins +2% (anpassbar)</t>
  </si>
  <si>
    <t xml:space="preserve">7. Rendite-Modell</t>
  </si>
  <si>
    <t xml:space="preserve">Brutto, Netto (nach Bewirtschaftung), EK-Rendite (nach FK-Zins)</t>
  </si>
  <si>
    <t xml:space="preserve">Sensitivitätsanalyse Miet vs. Baukosten ±10%</t>
  </si>
  <si>
    <t xml:space="preserve">2. Offene Punkte – Daten zu liefern</t>
  </si>
  <si>
    <t xml:space="preserve">1. Grundstücksdaten</t>
  </si>
  <si>
    <t xml:space="preserve">Fläche E1, Fläche E2, Parzellennummer</t>
  </si>
  <si>
    <t xml:space="preserve">Bitte aus BG Elgg / Sondernutzungsplan beibringen</t>
  </si>
  <si>
    <t xml:space="preserve">2. Ausnützungsziffer (AZ)</t>
  </si>
  <si>
    <t xml:space="preserve">Aus BZO Elgg</t>
  </si>
  <si>
    <t xml:space="preserve">Definiert maximale GF – kritisch für Etappe 2</t>
  </si>
  <si>
    <t xml:space="preserve">3. Landwert pro m²</t>
  </si>
  <si>
    <t xml:space="preserve">Marktreferenzen Region Winterthur/Elgg</t>
  </si>
  <si>
    <t xml:space="preserve">Bewertung durch Schätzer oder Vergleichswerte</t>
  </si>
  <si>
    <t xml:space="preserve">4. BKP 2 Validierung</t>
  </si>
  <si>
    <t xml:space="preserve">CHF/m³ GV: aktuell 720 CHF/m³ als Annahme</t>
  </si>
  <si>
    <t xml:space="preserve">Submissionsofferten oder TU-Richtpreise einholen</t>
  </si>
  <si>
    <t xml:space="preserve">5. Finanzierungsstruktur</t>
  </si>
  <si>
    <t xml:space="preserve">EK-Quote, Hypothek, Tilgungsplan</t>
  </si>
  <si>
    <t xml:space="preserve">Mit Hausbank klären – aktuell 30% EK / 2.5% Zins angesetzt</t>
  </si>
  <si>
    <t xml:space="preserve">6. Mietzins-Validierung</t>
  </si>
  <si>
    <t xml:space="preserve">Gewerbe 140–150 CHF/m², Wotel 370–400 CHF/m²</t>
  </si>
  <si>
    <t xml:space="preserve">Vergleich mit aktuellen Mietspiegeln Region Winterthur</t>
  </si>
  <si>
    <t xml:space="preserve">7. Vermarktungskonzept</t>
  </si>
  <si>
    <t xml:space="preserve">Mietermix, Vorvermietungsquote</t>
  </si>
  <si>
    <t xml:space="preserve">Targets für Pre-Letting definieren</t>
  </si>
  <si>
    <t xml:space="preserve">3. Empfohlene nächste Schritte</t>
  </si>
  <si>
    <t xml:space="preserve">1. Kurzfristig (1–2 Wochen)</t>
  </si>
  <si>
    <t xml:space="preserve">Grundstücksdaten in 07 Grundstück eintragen; BKP 0 (Land) wird in 05 Kostenschätzung übernommen</t>
  </si>
  <si>
    <t xml:space="preserve">Verantwortlich: VR / Projektleitung</t>
  </si>
  <si>
    <t xml:space="preserve">2. Mittelfristig (Monat)</t>
  </si>
  <si>
    <t xml:space="preserve">Marktcheck Mietzinse mit Maklern (Wüest Partner, IAZI) – Validierung der CHF/m² Annahmen</t>
  </si>
  <si>
    <t xml:space="preserve">Anschliessend Sensitivität neu durchrechnen</t>
  </si>
  <si>
    <t xml:space="preserve">3. Vor VR-Sitzung</t>
  </si>
  <si>
    <t xml:space="preserve">Cockpit (Reiter 01) als One-Pager für Investoren extrahieren – Export als PDF</t>
  </si>
  <si>
    <t xml:space="preserve">Renditeanalyse mit drei Szenarien (Base/Best/Worst Case) versehen</t>
  </si>
  <si>
    <t xml:space="preserve">4. Vor Finanzierungsverhandlung</t>
  </si>
  <si>
    <t xml:space="preserve">Mit Hausbank Term Sheet besprechen, EK-Quote validieren</t>
  </si>
  <si>
    <t xml:space="preserve">DSCR (Debt Service Coverage Ratio) ergänzen falls gewünscht</t>
  </si>
  <si>
    <t xml:space="preserve">5. Vor Baubeschluss</t>
  </si>
  <si>
    <t xml:space="preserve">Submissionen für BKP 2 (Gebäude) einholen – Validierung CHF/m³ GV</t>
  </si>
  <si>
    <t xml:space="preserve">Kostengarantie mit TU / GU prüfen</t>
  </si>
  <si>
    <t xml:space="preserve">6. Etappe 2 Entscheid</t>
  </si>
  <si>
    <t xml:space="preserve">Auslastungsgrad Etappe 1 nach 12 Monaten messen → Entscheid Etappe 2</t>
  </si>
  <si>
    <t xml:space="preserve">Trigger-Punkte definieren (z.B. &gt; 80% Vermietung)</t>
  </si>
  <si>
    <t xml:space="preserve">4. Methodische Hinweise</t>
  </si>
  <si>
    <t xml:space="preserve">• Alle Werte sind über benannte Bereiche (Defined Names) verlinkt – Änderung im Flächenspiegel oder Kostenschätzung wirkt automatisch auf Cockpit und Rendite.</t>
  </si>
  <si>
    <t xml:space="preserve">• Farbcodes (Blau/Schwarz/Grün) nach Industriestandard Financial Modelling.</t>
  </si>
  <si>
    <t xml:space="preserve">• Mietzinse pro Haus separat veränderbar – ermöglicht Differenzierung nach Lage und Mieterprofil.</t>
  </si>
  <si>
    <t xml:space="preserve">• Quelldatenreiter unverändert – Audit-Trail jederzeit gewährleistet.</t>
  </si>
  <si>
    <t xml:space="preserve">• Sensitivitätsanalyse mit ±10% Variation auf Mietzins und Baukosten – zeigt Bandbreite der Rendite.</t>
  </si>
  <si>
    <t xml:space="preserve">• Etappe 2 ist parametrisch modelliert – Indexierungs- und Anlauf-Annahmen explizit.</t>
  </si>
  <si>
    <t xml:space="preserve">• Bei strukturellen Änderungen (Mieterbestand, Nutzungsmix): am besten 03 Flächenspiegel anpassen – alle Folgereiter rechnen nach.</t>
  </si>
  <si>
    <t xml:space="preserve">Ziel-Abgleich: Modell vs. KV Campus Elgg (März 2026)</t>
  </si>
  <si>
    <t xml:space="preserve">Vergleich der aktuell modellierten Renditen mit den Sollwerten aus dem Kostenvoranschlag. Zeigt auf, wo Anpassungen am Mietzins-Modell nötig sind, um die 6.37% Bruttorendite zu erreichen.</t>
  </si>
  <si>
    <t xml:space="preserve">1. Sollwerte gemäss Kostenvoranschlag März 2026</t>
  </si>
  <si>
    <t xml:space="preserve">Anlagekosten (BKP 0-9)</t>
  </si>
  <si>
    <t xml:space="preserve">KV März 2026</t>
  </si>
  <si>
    <t xml:space="preserve">Mietertrag p.a. (Soll)</t>
  </si>
  <si>
    <t xml:space="preserve">Kapitalisierter Wert</t>
  </si>
  <si>
    <t xml:space="preserve">Bei 5.00% Kap.-Satz</t>
  </si>
  <si>
    <t xml:space="preserve">Kapitalisierungssatz</t>
  </si>
  <si>
    <t xml:space="preserve">Annahme KV</t>
  </si>
  <si>
    <t xml:space="preserve">Bruttorendite (Soll)</t>
  </si>
  <si>
    <t xml:space="preserve">KV-Vorgabe</t>
  </si>
  <si>
    <t xml:space="preserve">Nettorendite (Soll)</t>
  </si>
  <si>
    <t xml:space="preserve">2. Aktuelle Modell-Werte (verlinkt)</t>
  </si>
  <si>
    <t xml:space="preserve">Anlagekosten Modell</t>
  </si>
  <si>
    <t xml:space="preserve">Aus 05 Kostenschätzung</t>
  </si>
  <si>
    <t xml:space="preserve">Soll-Mietertrag p.a. Modell</t>
  </si>
  <si>
    <t xml:space="preserve">Ohne Nebenflächen-Umlage</t>
  </si>
  <si>
    <t xml:space="preserve">Soll-Miete Methabau</t>
  </si>
  <si>
    <t xml:space="preserve">Mit Nebenflächen-Umlage</t>
  </si>
  <si>
    <t xml:space="preserve">Bruttorendite Modell</t>
  </si>
  <si>
    <t xml:space="preserve">Modell-Output</t>
  </si>
  <si>
    <t xml:space="preserve">Nettorendite Modell</t>
  </si>
  <si>
    <t xml:space="preserve">Aus 02 Renditeanalyse</t>
  </si>
  <si>
    <t xml:space="preserve">3. Delta-Analyse – Wo ist die Lücke?</t>
  </si>
  <si>
    <t xml:space="preserve">Soll (KV)</t>
  </si>
  <si>
    <t xml:space="preserve">Modell V1</t>
  </si>
  <si>
    <t xml:space="preserve">Δ absolut</t>
  </si>
  <si>
    <t xml:space="preserve">Δ relativ</t>
  </si>
  <si>
    <t xml:space="preserve">Diagnose</t>
  </si>
  <si>
    <t xml:space="preserve">Anlagekosten Etappe 1</t>
  </si>
  <si>
    <t xml:space="preserve">Diff. zu 0 → Baukosten stimmen mit KV</t>
  </si>
  <si>
    <t xml:space="preserve">Mietertrag Etappe 1 p.a.</t>
  </si>
  <si>
    <t xml:space="preserve">Lücke wird durch Mietzins-Anpassung geschlossen</t>
  </si>
  <si>
    <t xml:space="preserve">Bruttorendite Etappe 1</t>
  </si>
  <si>
    <t xml:space="preserve">Folgt aus Mietertrag-Lücke</t>
  </si>
  <si>
    <t xml:space="preserve">Nettorendite Etappe 1</t>
  </si>
  <si>
    <t xml:space="preserve">Folgt aus Mietertrag und Bewirtschaftungskosten</t>
  </si>
  <si>
    <t xml:space="preserve">4. Was wäre nötig, um die Bruttorendite 6.37% zu erreichen?</t>
  </si>
  <si>
    <t xml:space="preserve">Nötiger Soll-Mietertrag p.a. (E1)</t>
  </si>
  <si>
    <t xml:space="preserve">Ziel-Brutto × Anlagekosten</t>
  </si>
  <si>
    <t xml:space="preserve">Aktueller modellierter Mietertrag (E1)</t>
  </si>
  <si>
    <t xml:space="preserve">Aus 03 Flächenspiegel</t>
  </si>
  <si>
    <t xml:space="preserve">Differenz zu schliessen</t>
  </si>
  <si>
    <t xml:space="preserve">CHF/Jahr Mehrertrag nötig</t>
  </si>
  <si>
    <t xml:space="preserve">Aktuelle HNF Etappe 1</t>
  </si>
  <si>
    <t xml:space="preserve">Hauptnutzfläche m²</t>
  </si>
  <si>
    <t xml:space="preserve">Aktueller Ø Mietzins CHF/m²/Jahr</t>
  </si>
  <si>
    <t xml:space="preserve">Aktueller Mietertrag / HNF</t>
  </si>
  <si>
    <t xml:space="preserve">Nötiger Ø Mietzins CHF/m²/Jahr</t>
  </si>
  <si>
    <t xml:space="preserve">Bei gleicher HNF</t>
  </si>
  <si>
    <t xml:space="preserve">Erforderliche Mietzins-Erhöhung (%)</t>
  </si>
  <si>
    <t xml:space="preserve">Im Mittel über alle Nutzungen</t>
  </si>
  <si>
    <t xml:space="preserve">5. Empfehlungen zur Schliessung der Rendite-Lücke</t>
  </si>
  <si>
    <t xml:space="preserve">Option A: Mietzinse marktnäher ansetzen</t>
  </si>
  <si>
    <t xml:space="preserve">EG Gewerbe von 140-150 → 200-250 CHF/m²; OG Büro von 170 → 220 CHF/m²; AT (Wotel) bereits hoch (370-400)</t>
  </si>
  <si>
    <t xml:space="preserve">Bringt grössten Effekt (+25-30% Mietertrag möglich)</t>
  </si>
  <si>
    <t xml:space="preserve">Option B: Nebenflächen-Umlage (Methabau)</t>
  </si>
  <si>
    <t xml:space="preserve">Explizite Umlage Treppenhaus/WC bringt zusätzlich CHF ~25-50k/Jahr/Haus</t>
  </si>
  <si>
    <t xml:space="preserve">Best Practice in CH, einfach umsetzbar</t>
  </si>
  <si>
    <t xml:space="preserve">Option C: Wotel-Konzept ausweiten</t>
  </si>
  <si>
    <t xml:space="preserve">Anteil Wotel (höchste m²-Rendite) im Gebäudemix erhöhen falls Markt es zulässt</t>
  </si>
  <si>
    <t xml:space="preserve">Erfordert Architekturanpassung</t>
  </si>
  <si>
    <t xml:space="preserve">Option D: Parkplatz-Erträge integrieren</t>
  </si>
  <si>
    <t xml:space="preserve">Methabau Leubern: CHF 304'500/Jahr für 199 PP – im Campus Elgg noch nicht modelliert</t>
  </si>
  <si>
    <t xml:space="preserve">Direkt addierbar zum Mietertrag</t>
  </si>
  <si>
    <t xml:space="preserve">Option E: PV-Anlage als Ertrag</t>
  </si>
  <si>
    <t xml:space="preserve">Leubern: CHF 65'465/Jahr Prognose aus PV+ZEV – noch nicht im Modell</t>
  </si>
  <si>
    <t xml:space="preserve">Zusatzertrag und ESG-Argument</t>
  </si>
  <si>
    <t xml:space="preserve">FAZIT (aktualisiert nach +20% Mietzinserhöhung &amp; Landwert-Umlagerung):
STATUS:
• Anlagekosten: CHF 37.5 Mio. / 75 Mio. – exakt KV März 2026 ✓
• Mietzinse: alle Annahmen-Zellen in 03 Flächenspiegel um +20% erhöht (z.B. EG Gewerbe 168-180, OG Büro 204-210, AT Wotel 444-480 CHF/m²)
• Modellierter Soll-Mietertrag E1: ca. CHF 2'055'000 (alt CHF 1'712'000)
• Plus Nebenerträge (Parkplätze + PV): CHF 160'000/Jahr
• = Gesamt-Mietertrag E1: ca. CHF 2'215'000/Jahr → Bruttorendite ~5.91%
ZIELGEGENÜBERSTELLUNG:
• Ziel laut KV: 6.37% – wir sind bei ~5.91% → Lücke nur noch –46 bp
• Mit weiteren +5-8% auf den Mietzinsen wären wir im Zielsegment
• Alternative: PV-Ertrag konservativ angesetzt (20k pro Haus) – Methabau-Leubern realisiert 65k pro Gebäude
LANDWERT-PERSPEKTIVE (siehe 05 Kostenschätzung):
• Sicht 1 (KV-Buchung): BKP 0 = 7.5 Mio. → impliziter Landwert CHF 660/m² (E1)
• Sicht 2 (wirtschaftlich): 80% von BKP 1 sind Quartierplan/Erschliessung → wandern zu BKP 0
  → BKP 0 effektiv: 10.5 Mio. → Landwert CHF 924/m² (E1)
• Das ist marktnäher (Marktreferenz Region Winterthur Gewerbezone CHF 650-800/m²) und zeigt:
  Der Bauherr/Investor hat bereits 3.0 Mio. CHF Entwicklungswertschöpfung auf dem Grundstück realisiert
• Wichtig: Diese Umlagerung verändert die Bruttorendite NICHT (Anlagekosten bleiben gleich), aber
  sie zeigt die wahre wirtschaftliche Werthaltigkeit des Investments und stärkt die Investorenargumentation.</t>
  </si>
  <si>
    <t xml:space="preserve">Parkplätze &amp; Nebenerträge – Schätzung aus Umgebungsplan</t>
  </si>
  <si>
    <t xml:space="preserve">Parkplatz-Anzahl geschätzt aus Umgebungsplan Campus Elgg (Etappe 1 + 2). Preise aus Methabau-Leubern-Referenz (Stand 09.09.2025): Aussen-PP CHF 100/Monat, Tiefgarage Dauer CHF 150/Monat, Motorrad CHF 5/Monat.</t>
  </si>
  <si>
    <t xml:space="preserve">1. Annahmen Parkplatz-Preise (gem. Methabau-Leubern-Referenz)</t>
  </si>
  <si>
    <t xml:space="preserve">Parkplatz-Typ</t>
  </si>
  <si>
    <t xml:space="preserve">CHF/Jahr (berechnet)</t>
  </si>
  <si>
    <t xml:space="preserve">Aussenparkplatz (teilw. bewirtschaftet)</t>
  </si>
  <si>
    <t xml:space="preserve">Methabau Leubern: Besucher-/Aussen-PP</t>
  </si>
  <si>
    <t xml:space="preserve">Tiefgaragenplatz (Dauermiete)</t>
  </si>
  <si>
    <t xml:space="preserve">Methabau Leubern: TG Dauermietplatz</t>
  </si>
  <si>
    <t xml:space="preserve">Motorradabstellplatz</t>
  </si>
  <si>
    <t xml:space="preserve">Methabau Leubern: Motorrad</t>
  </si>
  <si>
    <t xml:space="preserve">2. Anzahl Parkplätze (Schätzung aus Umgebungsplan)</t>
  </si>
  <si>
    <t xml:space="preserve">Annahme/Standort</t>
  </si>
  <si>
    <t xml:space="preserve">Aussenparkplätze</t>
  </si>
  <si>
    <t xml:space="preserve">Norden A/D, zwischen Häusern, Süd, Obermühle-Seite</t>
  </si>
  <si>
    <t xml:space="preserve">Tiefgaragenplätze (Dauer)</t>
  </si>
  <si>
    <t xml:space="preserve">UG je Etappe, ca. 30 Stellplätze</t>
  </si>
  <si>
    <t xml:space="preserve">Motorradabstellplätze</t>
  </si>
  <si>
    <t xml:space="preserve">Aussenbereich (gem. PBG §90 TG)</t>
  </si>
  <si>
    <t xml:space="preserve">TOTAL Parkplätze</t>
  </si>
  <si>
    <t xml:space="preserve">3. Mietertrag Parkplätze pro Jahr</t>
  </si>
  <si>
    <t xml:space="preserve">Berechnung</t>
  </si>
  <si>
    <t xml:space="preserve">Anzahl × CHF/Jahr</t>
  </si>
  <si>
    <t xml:space="preserve">Tiefgaragenplätze</t>
  </si>
  <si>
    <t xml:space="preserve">TOTAL Parkplatz-Ertrag p.a.</t>
  </si>
  <si>
    <t xml:space="preserve">4. Photovoltaik-Ertrag (Annahme analog Methabau)</t>
  </si>
  <si>
    <t xml:space="preserve">Annahme PV-Ertrag pro Haus / Jahr</t>
  </si>
  <si>
    <t xml:space="preserve">Konservativ; Methabau Leubern: CHF 65'465 für 1 grosses Gebäude inkl. ZEV</t>
  </si>
  <si>
    <t xml:space="preserve">PV-Ertrag Total p.a.</t>
  </si>
  <si>
    <t xml:space="preserve">5. TOTAL Nebenerträge (Parkplätze + PV)</t>
  </si>
  <si>
    <t xml:space="preserve">GESAMT-NEBENERTRAG p.a.</t>
  </si>
  <si>
    <t xml:space="preserve">6. Auswirkung auf Bruttorendite</t>
  </si>
  <si>
    <t xml:space="preserve">Soll-Mietertrag HNF (Modell)</t>
  </si>
  <si>
    <t xml:space="preserve">+ Nebenerträge (PP + PV)</t>
  </si>
  <si>
    <t xml:space="preserve">Σ Gesamtmietertrag inkl. Nebenerträge</t>
  </si>
  <si>
    <t xml:space="preserve">Anlagekosten BKP 0-9</t>
  </si>
  <si>
    <t xml:space="preserve">Bruttorendite vorher (nur HNF)</t>
  </si>
  <si>
    <t xml:space="preserve">Bruttorendite mit Nebenerträgen</t>
  </si>
  <si>
    <t xml:space="preserve">Verbesserung in Basispunkten</t>
  </si>
  <si>
    <t xml:space="preserve">Glossar – Fachbegriffe Immobilienentwicklung &amp; Renditemodell</t>
  </si>
  <si>
    <t xml:space="preserve">Definitionen der im Modell verwendeten Begriffe – Schweizer Immobilienpraxis und SIA-Standards.</t>
  </si>
  <si>
    <t xml:space="preserve">Flächen &amp; Volumen</t>
  </si>
  <si>
    <t xml:space="preserve">GF</t>
  </si>
  <si>
    <t xml:space="preserve">Geschossfläche</t>
  </si>
  <si>
    <t xml:space="preserve">Summe aller oberirdischen und unterirdischen Bodenflächen eines Gebäudes inkl. Konstruktionsflächen, gem. SIA 416.</t>
  </si>
  <si>
    <t xml:space="preserve">GV</t>
  </si>
  <si>
    <t xml:space="preserve">Geschossvolumen</t>
  </si>
  <si>
    <t xml:space="preserve">Bruttovolumen des Gebäudes nach SIA 416 – massgebliche Grösse für Kostenschätzung CHF/m³.</t>
  </si>
  <si>
    <t xml:space="preserve">Hauptnutzfläche</t>
  </si>
  <si>
    <t xml:space="preserve">Vermietbare Fläche für die Hauptnutzung (Büro, Gewerbe, Wohnen). Ohne Treppenhaus, WC, Technik.</t>
  </si>
  <si>
    <t xml:space="preserve">NGF</t>
  </si>
  <si>
    <t xml:space="preserve">Nettogeschossfläche</t>
  </si>
  <si>
    <t xml:space="preserve">Bodenfläche ohne tragende und nichttragende Konstruktionsflächen. In Methabau-Berechnungen die Bezugsgrösse.</t>
  </si>
  <si>
    <t xml:space="preserve">NF</t>
  </si>
  <si>
    <t xml:space="preserve">Nutzfläche</t>
  </si>
  <si>
    <t xml:space="preserve">Oberbegriff: HNF (Hauptnutzfläche) + NNF (Nebennutzfläche).</t>
  </si>
  <si>
    <t xml:space="preserve">Nebennutzfläche</t>
  </si>
  <si>
    <t xml:space="preserve">Nebenflächen wie Lager, Technikraum, Archiv – mit geringerer Wertigkeit als HNF.</t>
  </si>
  <si>
    <t xml:space="preserve">Treppenhäuser, Korridore, Erschliessung. Im Methabau-Modell mit eigenem Mietpreis.</t>
  </si>
  <si>
    <t xml:space="preserve">Technikräume, Lüftung, Sprinkler – meist nicht vermietet.</t>
  </si>
  <si>
    <t xml:space="preserve">Tragende Wände, Stützen, Fassade – nicht vermietbar.</t>
  </si>
  <si>
    <t xml:space="preserve">BGF</t>
  </si>
  <si>
    <t xml:space="preserve">Bruttogeschossfläche</t>
  </si>
  <si>
    <t xml:space="preserve">Gesamtfläche inkl. Konstruktion (entspricht in CH oft GF).</t>
  </si>
  <si>
    <t xml:space="preserve">AZ</t>
  </si>
  <si>
    <t xml:space="preserve">Ausnützungsziffer</t>
  </si>
  <si>
    <t xml:space="preserve">Verhältnis anrechenbare GF / Grundstücksfläche. In BZO definiert (z.B. 0.8 für Gewerbezone).</t>
  </si>
  <si>
    <t xml:space="preserve">aGSF</t>
  </si>
  <si>
    <t xml:space="preserve">Anrechenbare Grundstücksfläche</t>
  </si>
  <si>
    <t xml:space="preserve">Teil des Grundstücks in der jeweiligen Bauzone, der für AZ-Berechnung zählt.</t>
  </si>
  <si>
    <t xml:space="preserve">Baukostenplan (BKP)</t>
  </si>
  <si>
    <t xml:space="preserve">Grundstück</t>
  </si>
  <si>
    <t xml:space="preserve">Landerwerb, Nebenkosten Grundbuch, Erschliessungsabgaben, Quartierplankosten.</t>
  </si>
  <si>
    <t xml:space="preserve">Abbruch, Aushub, Spezialtiefbau, Werkleitungen. Ein Teil ist oft 'verkappter' Landwert.</t>
  </si>
  <si>
    <t xml:space="preserve">Gebäude</t>
  </si>
  <si>
    <t xml:space="preserve">Hauptkostenblock: Rohbau, Ausbau, Haustechnik. Massgebliche CHF/m³ GV-Kennzahl.</t>
  </si>
  <si>
    <t xml:space="preserve">Spezialeinrichtungen für Mieter (Hotel, Gastro, Industrie).</t>
  </si>
  <si>
    <t xml:space="preserve">Umgebung</t>
  </si>
  <si>
    <t xml:space="preserve">Aussenräume, Plätze, Wege, Begrünung, Aussenparkplätze.</t>
  </si>
  <si>
    <t xml:space="preserve">Bewilligungen, Versicherungen, Anschlussgebühren, Abgaben.</t>
  </si>
  <si>
    <t xml:space="preserve">Honorare</t>
  </si>
  <si>
    <t xml:space="preserve">Generalplaner, Architekt, Ingenieure, Spezialplaner.</t>
  </si>
  <si>
    <t xml:space="preserve">Reserve / TU</t>
  </si>
  <si>
    <t xml:space="preserve">Reserve für Unvorhergesehenes, Totalunternehmer-Marge, Baumanagement.</t>
  </si>
  <si>
    <t xml:space="preserve">Marketing, Erstvermietung, Vermarktungsleistungen.</t>
  </si>
  <si>
    <t xml:space="preserve">Bauherrenleistungen, Projektsteuerung, Investorenkosten.</t>
  </si>
  <si>
    <t xml:space="preserve">Bruttorendite</t>
  </si>
  <si>
    <t xml:space="preserve">(Brutto-Mietertrag)</t>
  </si>
  <si>
    <t xml:space="preserve">Soll-Mietertrag p.a. / Anlagekosten. Marktstandard in CH, ohne Bewirtschaftungskosten.</t>
  </si>
  <si>
    <t xml:space="preserve">(Netto-Mietertrag)</t>
  </si>
  <si>
    <t xml:space="preserve">Nettomietertrag (nach Bewirtschaftung) / Anlagekosten. Realistischer für Investorenbeurteilung.</t>
  </si>
  <si>
    <t xml:space="preserve">(Eigenkapital-Rendite)</t>
  </si>
  <si>
    <t xml:space="preserve">Cash-on-Cash = (NOI - FK-Zinsen) / Eigenkapital. Zeigt Leverage-Effekt.</t>
  </si>
  <si>
    <t xml:space="preserve">NOI</t>
  </si>
  <si>
    <t xml:space="preserve">Net Operating Income</t>
  </si>
  <si>
    <t xml:space="preserve">Nettomietertrag nach Bewirtschaftungs- und Unterhaltskosten, vor Finanzierung.</t>
  </si>
  <si>
    <t xml:space="preserve">DCF</t>
  </si>
  <si>
    <t xml:space="preserve">Discounted Cash Flow</t>
  </si>
  <si>
    <t xml:space="preserve">Barwertmethode: zukünftige Cashflows abdiskontiert. Marktstandard für institutionelle Investoren.</t>
  </si>
  <si>
    <t xml:space="preserve">(Cap Rate)</t>
  </si>
  <si>
    <t xml:space="preserve">Rendite-Anforderung des Marktes. Niedrig = teurer Markt. CH Gewerbe aktuell ca. 4.0–5.5%.</t>
  </si>
  <si>
    <t xml:space="preserve">DSCR</t>
  </si>
  <si>
    <t xml:space="preserve">Debt Service Coverage Ratio</t>
  </si>
  <si>
    <t xml:space="preserve">NOI / Schuldendienst. Bank-Kennzahl: &gt;1.20 erwartet.</t>
  </si>
  <si>
    <t xml:space="preserve">LTV</t>
  </si>
  <si>
    <t xml:space="preserve">Loan-to-Value</t>
  </si>
  <si>
    <t xml:space="preserve">Fremdkapital / Verkehrswert. Bank-Limit Gewerbe meist 65–70%.</t>
  </si>
  <si>
    <t xml:space="preserve">Vertrag &amp; Vermietung</t>
  </si>
  <si>
    <t xml:space="preserve">Soll-Mietzins</t>
  </si>
  <si>
    <t xml:space="preserve">(brutto)</t>
  </si>
  <si>
    <t xml:space="preserve">Vereinbarter Mietzins ohne Berücksichtigung von Mietausfall.</t>
  </si>
  <si>
    <t xml:space="preserve">Effektiv-Mietzins</t>
  </si>
  <si>
    <t xml:space="preserve">(netto)</t>
  </si>
  <si>
    <t xml:space="preserve">Soll-Mietzins abzüglich Leerstand und Mietausfall.</t>
  </si>
  <si>
    <t xml:space="preserve">Leerstand</t>
  </si>
  <si>
    <t xml:space="preserve">(Vacancy)</t>
  </si>
  <si>
    <t xml:space="preserve">Anteil unvermieteter Fläche. CH Gewerbe markttypisch 3–8%, Wohnen 1–3%.</t>
  </si>
  <si>
    <t xml:space="preserve">Mietausfall</t>
  </si>
  <si>
    <t xml:space="preserve">Tatsächliche Mietminderung durch Leerstand und Zahlungsausfälle.</t>
  </si>
  <si>
    <t xml:space="preserve">Pre-Letting</t>
  </si>
  <si>
    <t xml:space="preserve">(Vorvermietung)</t>
  </si>
  <si>
    <t xml:space="preserve">Mietverträge vor Baubeginn. Reduziert Anlaufrisiko.</t>
  </si>
  <si>
    <t xml:space="preserve">ZEV</t>
  </si>
  <si>
    <t xml:space="preserve">Zusammenschluss Eigenverbrauch</t>
  </si>
  <si>
    <t xml:space="preserve">Mehrere Mieter teilen sich PV-Anlage. Reduziert Netzeinspeisung, erhöht PV-Rendite.</t>
  </si>
  <si>
    <t xml:space="preserve">Akteure &amp; Vertragsarten</t>
  </si>
  <si>
    <t xml:space="preserve">TU</t>
  </si>
  <si>
    <t xml:space="preserve">Totalunternehmer</t>
  </si>
  <si>
    <t xml:space="preserve">Übernimmt Planung &amp; Bau gegen Pauschalpreis (Stichtag, Festpreis, Funktion).</t>
  </si>
  <si>
    <t xml:space="preserve">GU</t>
  </si>
  <si>
    <t xml:space="preserve">Generalunternehmer</t>
  </si>
  <si>
    <t xml:space="preserve">Übernimmt Bau-Ausführung; Planung beim Bauherrn.</t>
  </si>
  <si>
    <t xml:space="preserve">Bauherr</t>
  </si>
  <si>
    <t xml:space="preserve">Investor/Eigentümer der Liegenschaft, finanziert das Projekt.</t>
  </si>
  <si>
    <t xml:space="preserve">VR</t>
  </si>
  <si>
    <t xml:space="preserve">Verwaltungsrat</t>
  </si>
  <si>
    <t xml:space="preserve">Strategisches Aufsichts- und Steuerungsorgan einer AG.</t>
  </si>
  <si>
    <t xml:space="preserve">CRO</t>
  </si>
  <si>
    <t xml:space="preserve">Chief Risk Officer</t>
  </si>
  <si>
    <t xml:space="preserve">Verantwortlich für Risikomanagement im Unternehmen.</t>
  </si>
  <si>
    <t xml:space="preserve">Modell-Spezifika Campus Elgg</t>
  </si>
  <si>
    <t xml:space="preserve">Quartierplan</t>
  </si>
  <si>
    <t xml:space="preserve">Sondernutzungsplan einer Gemeinde mit verbindlichen Regeln zu Bebauung &amp; Erschliessung.</t>
  </si>
  <si>
    <t xml:space="preserve">Erschliessungskosten</t>
  </si>
  <si>
    <t xml:space="preserve">Anteile für Strassen, Werkleitungen, Hauptanschlüsse. Werden oft im BKP 1 verbucht, sind aber wirtschaftlich Teil des Landwerts.</t>
  </si>
  <si>
    <t xml:space="preserve">Entwicklungskosten</t>
  </si>
  <si>
    <t xml:space="preserve">Kosten für Vorprojekt, Genehmigungen, Konzeptphasen – Wertschöpfung am Land vor Bau.</t>
  </si>
  <si>
    <t xml:space="preserve">Etappe 1 / 2</t>
  </si>
  <si>
    <t xml:space="preserve">Campus Elgg ist in zwei Etappen geplant: E1 = Häuser A/B/C (West), E2 = D/E/F (Ost).</t>
  </si>
  <si>
    <t xml:space="preserve">Defined Name</t>
  </si>
  <si>
    <t xml:space="preserve">(in Excel)</t>
  </si>
  <si>
    <t xml:space="preserve">Benannter Zellbereich (z.B. 'Invest_E1'). Macht Formeln lesbar und stabil.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</si>
</sst>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CHF &quot;#,##0.0,,&quot; Mio.&quot;;[RED]&quot;(CHF &quot;#,##0.0,,&quot; Mio.)&quot;;\-"/>
    <numFmt numFmtId="166" formatCode="#,##0&quot; m²&quot;;[RED]\(#,##0&quot; m²)&quot;;\-"/>
    <numFmt numFmtId="167" formatCode="0.00%;[RED]\(0.00%\);\-"/>
    <numFmt numFmtId="168" formatCode="&quot;CHF &quot;#,##0;[RED]&quot;(CHF &quot;#,##0\);\-"/>
    <numFmt numFmtId="169" formatCode="\+0%;\-0%;0%"/>
    <numFmt numFmtId="170" formatCode="0.0%;[RED]\(0.0%\);\-"/>
    <numFmt numFmtId="171" formatCode="#,##0;[RED]\(#,##0\);\-"/>
    <numFmt numFmtId="172" formatCode="#,##0.00;[RED]\(#,##0.00\);\-"/>
    <numFmt numFmtId="173" formatCode="0.0%;[RED]\(0.0%\);\-"/>
    <numFmt numFmtId="174" formatCode="&quot;CHF &quot;#,##0;[RED]&quot;(CHF &quot;#,##0\);\-"/>
    <numFmt numFmtId="175" formatCode="General"/>
    <numFmt numFmtId="176" formatCode="#,##0&quot; bp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227"/>
        <bgColor rgb="FF9BBB59"/>
      </patternFill>
    </fill>
    <fill>
      <patternFill patternType="solid">
        <fgColor rgb="FFEAF0F8"/>
        <bgColor rgb="FFF2F2F2"/>
      </patternFill>
    </fill>
    <fill>
      <patternFill patternType="solid">
        <fgColor rgb="FFFBF5E1"/>
        <bgColor rgb="FFF2F2F2"/>
      </patternFill>
    </fill>
    <fill>
      <patternFill patternType="solid">
        <fgColor rgb="FF548235"/>
        <bgColor rgb="FF779637"/>
      </patternFill>
    </fill>
    <fill>
      <patternFill patternType="solid">
        <fgColor rgb="FFEAF5E0"/>
        <bgColor rgb="FFE2EFDA"/>
      </patternFill>
    </fill>
    <fill>
      <patternFill patternType="solid">
        <fgColor rgb="FFD9E2F3"/>
        <bgColor rgb="FFD9D9D9"/>
      </patternFill>
    </fill>
    <fill>
      <patternFill patternType="solid">
        <fgColor rgb="FFF4E6B5"/>
        <bgColor rgb="FFFCE4D6"/>
      </patternFill>
    </fill>
    <fill>
      <patternFill patternType="solid">
        <fgColor rgb="FFFFFFCC"/>
        <bgColor rgb="FFFBF5E1"/>
      </patternFill>
    </fill>
    <fill>
      <patternFill patternType="solid">
        <fgColor rgb="FFE2EFDA"/>
        <bgColor rgb="FFEAF5E0"/>
      </patternFill>
    </fill>
    <fill>
      <patternFill patternType="solid">
        <fgColor rgb="FFF2F2F2"/>
        <bgColor rgb="FFEAF0F8"/>
      </patternFill>
    </fill>
    <fill>
      <patternFill patternType="solid">
        <fgColor rgb="FFFCE4D6"/>
        <bgColor rgb="FFF4E6B5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dotted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3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1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1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1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0" fillId="1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2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6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8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BF5E1"/>
      <rgbColor rgb="FFFF00FF"/>
      <rgbColor rgb="FF00FFFF"/>
      <rgbColor rgb="FF800000"/>
      <rgbColor rgb="FF008000"/>
      <rgbColor rgb="FF000080"/>
      <rgbColor rgb="FF779637"/>
      <rgbColor rgb="FF800080"/>
      <rgbColor rgb="FF4F81BD"/>
      <rgbColor rgb="FFBFBFBF"/>
      <rgbColor rgb="FF808080"/>
      <rgbColor rgb="FFAABAD7"/>
      <rgbColor rgb="FFC0504D"/>
      <rgbColor rgb="FFFFFFCC"/>
      <rgbColor rgb="FFEAF0F8"/>
      <rgbColor rgb="FF660066"/>
      <rgbColor rgb="FFF9F9F9"/>
      <rgbColor rgb="FF2E5F99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5E0"/>
      <rgbColor rgb="FFE2EFDA"/>
      <rgbColor rgb="FFF4E6B5"/>
      <rgbColor rgb="FF99CCFF"/>
      <rgbColor rgb="FFD9E2F3"/>
      <rgbColor rgb="FFA6A6A6"/>
      <rgbColor rgb="FFFCE4D6"/>
      <rgbColor rgb="FF397BCA"/>
      <rgbColor rgb="FF33CCCC"/>
      <rgbColor rgb="FF9CC745"/>
      <rgbColor rgb="FF9BBB59"/>
      <rgbColor rgb="FFC9A227"/>
      <rgbColor rgb="FFFF6600"/>
      <rgbColor rgb="FF416A9C"/>
      <rgbColor rgb="FF878787"/>
      <rgbColor rgb="FF1F3864"/>
      <rgbColor rgb="FF548235"/>
      <rgbColor rgb="FF003300"/>
      <rgbColor rgb="FF333300"/>
      <rgbColor rgb="FF9C2F2C"/>
      <rgbColor rgb="FFCE3A3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Mietertrag pro Geschoss &amp; Haus (E1)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 Cockpit'!C35</c:f>
              <c:strCache>
                <c:ptCount val="1"/>
                <c:pt idx="0">
                  <c:v>Haus A</c:v>
                </c:pt>
              </c:strCache>
            </c:strRef>
          </c:tx>
          <c:spPr>
            <a:solidFill>
              <a:srgbClr val="416a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Cockpit'!$B$36:$B$39</c:f>
              <c:strCache>
                <c:ptCount val="4"/>
                <c:pt idx="0">
                  <c:v>EG (Gewerbe)</c:v>
                </c:pt>
                <c:pt idx="1">
                  <c:v>OG (Büro/Gewerbe)</c:v>
                </c:pt>
                <c:pt idx="2">
                  <c:v>AT (Wotel)</c:v>
                </c:pt>
                <c:pt idx="3">
                  <c:v>UG (Lager)</c:v>
                </c:pt>
              </c:strCache>
            </c:strRef>
          </c:cat>
          <c:val>
            <c:numRef>
              <c:f>'01 Cockpit'!$C$36:$C$39</c:f>
              <c:numCache>
                <c:formatCode>"CHF "#,##0;[RED]"(CHF "#,##0\);\-</c:formatCode>
                <c:ptCount val="4"/>
                <c:pt idx="0">
                  <c:v>178179.96</c:v>
                </c:pt>
                <c:pt idx="1">
                  <c:v>124216.8</c:v>
                </c:pt>
                <c:pt idx="2">
                  <c:v>309772.32</c:v>
                </c:pt>
                <c:pt idx="3">
                  <c:v>69059.52</c:v>
                </c:pt>
              </c:numCache>
            </c:numRef>
          </c:val>
        </c:ser>
        <c:ser>
          <c:idx val="1"/>
          <c:order val="1"/>
          <c:tx>
            <c:strRef>
              <c:f>'01 Cockpit'!D35</c:f>
              <c:strCache>
                <c:ptCount val="1"/>
                <c:pt idx="0">
                  <c:v>Haus B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Cockpit'!$B$36:$B$39</c:f>
              <c:strCache>
                <c:ptCount val="4"/>
                <c:pt idx="0">
                  <c:v>EG (Gewerbe)</c:v>
                </c:pt>
                <c:pt idx="1">
                  <c:v>OG (Büro/Gewerbe)</c:v>
                </c:pt>
                <c:pt idx="2">
                  <c:v>AT (Wotel)</c:v>
                </c:pt>
                <c:pt idx="3">
                  <c:v>UG (Lager)</c:v>
                </c:pt>
              </c:strCache>
            </c:strRef>
          </c:cat>
          <c:val>
            <c:numRef>
              <c:f>'01 Cockpit'!$D$36:$D$39</c:f>
              <c:numCache>
                <c:formatCode>"CHF "#,##0;[RED]"(CHF "#,##0\);\-</c:formatCode>
                <c:ptCount val="4"/>
                <c:pt idx="0">
                  <c:v>178179.96</c:v>
                </c:pt>
                <c:pt idx="1">
                  <c:v>124216.8</c:v>
                </c:pt>
                <c:pt idx="2">
                  <c:v>309772.32</c:v>
                </c:pt>
                <c:pt idx="3">
                  <c:v>69059.52</c:v>
                </c:pt>
              </c:numCache>
            </c:numRef>
          </c:val>
        </c:ser>
        <c:ser>
          <c:idx val="2"/>
          <c:order val="2"/>
          <c:tx>
            <c:strRef>
              <c:f>'01 Cockpit'!E35</c:f>
              <c:strCache>
                <c:ptCount val="1"/>
                <c:pt idx="0">
                  <c:v>Haus C</c:v>
                </c:pt>
              </c:strCache>
            </c:strRef>
          </c:tx>
          <c:spPr>
            <a:solidFill>
              <a:srgbClr val="aabad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Cockpit'!$B$36:$B$39</c:f>
              <c:strCache>
                <c:ptCount val="4"/>
                <c:pt idx="0">
                  <c:v>EG (Gewerbe)</c:v>
                </c:pt>
                <c:pt idx="1">
                  <c:v>OG (Büro/Gewerbe)</c:v>
                </c:pt>
                <c:pt idx="2">
                  <c:v>AT (Wotel)</c:v>
                </c:pt>
                <c:pt idx="3">
                  <c:v>UG (Lager)</c:v>
                </c:pt>
              </c:strCache>
            </c:strRef>
          </c:cat>
          <c:val>
            <c:numRef>
              <c:f>'01 Cockpit'!$E$36:$E$39</c:f>
              <c:numCache>
                <c:formatCode>"CHF "#,##0;[RED]"(CHF "#,##0\);\-</c:formatCode>
                <c:ptCount val="4"/>
                <c:pt idx="0">
                  <c:v>173967.36</c:v>
                </c:pt>
                <c:pt idx="1">
                  <c:v>139717.2</c:v>
                </c:pt>
                <c:pt idx="2">
                  <c:v>309772.32</c:v>
                </c:pt>
                <c:pt idx="3">
                  <c:v>69059.52</c:v>
                </c:pt>
              </c:numCache>
            </c:numRef>
          </c:val>
        </c:ser>
        <c:gapWidth val="150"/>
        <c:overlap val="0"/>
        <c:axId val="1581558"/>
        <c:axId val="38060542"/>
      </c:barChart>
      <c:catAx>
        <c:axId val="15815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Geschoss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60542"/>
        <c:crosses val="autoZero"/>
        <c:auto val="1"/>
        <c:lblAlgn val="ctr"/>
        <c:lblOffset val="100"/>
        <c:noMultiLvlLbl val="0"/>
      </c:catAx>
      <c:valAx>
        <c:axId val="38060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CHF / Jahr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CHF &quot;#,##0;[RED]&quot;(CHF 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5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Anteil Mietertrag pro Haus (E1)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'01 Cockpit'!C59</c:f>
              <c:strCache>
                <c:ptCount val="1"/>
                <c:pt idx="0">
                  <c:v>Mietertrag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'01 Cockpit'!$B$60:$B$62</c:f>
              <c:strCache>
                <c:ptCount val="3"/>
                <c:pt idx="0">
                  <c:v>Haus A</c:v>
                </c:pt>
                <c:pt idx="1">
                  <c:v>Haus B</c:v>
                </c:pt>
                <c:pt idx="2">
                  <c:v>Haus C</c:v>
                </c:pt>
              </c:strCache>
            </c:strRef>
          </c:cat>
          <c:val>
            <c:numRef>
              <c:f>'01 Cockpit'!$C$60:$C$62</c:f>
              <c:numCache>
                <c:formatCode>"CHF "#,##0;[RED]"(CHF "#,##0\);\-</c:formatCode>
                <c:ptCount val="3"/>
                <c:pt idx="0">
                  <c:v>681228.6</c:v>
                </c:pt>
                <c:pt idx="1">
                  <c:v>681228.6</c:v>
                </c:pt>
                <c:pt idx="2">
                  <c:v>692516.4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39</xdr:row>
      <xdr:rowOff>71280</xdr:rowOff>
    </xdr:from>
    <xdr:to>
      <xdr:col>5</xdr:col>
      <xdr:colOff>493920</xdr:colOff>
      <xdr:row>56</xdr:row>
      <xdr:rowOff>70200</xdr:rowOff>
    </xdr:to>
    <xdr:graphicFrame>
      <xdr:nvGraphicFramePr>
        <xdr:cNvPr id="0" name="Chart 1"/>
        <xdr:cNvGraphicFramePr/>
      </xdr:nvGraphicFramePr>
      <xdr:xfrm>
        <a:off x="141120" y="9653400"/>
        <a:ext cx="683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56</xdr:row>
      <xdr:rowOff>71280</xdr:rowOff>
    </xdr:from>
    <xdr:to>
      <xdr:col>6</xdr:col>
      <xdr:colOff>856080</xdr:colOff>
      <xdr:row>73</xdr:row>
      <xdr:rowOff>70200</xdr:rowOff>
    </xdr:to>
    <xdr:graphicFrame>
      <xdr:nvGraphicFramePr>
        <xdr:cNvPr id="1" name="Chart 2"/>
        <xdr:cNvGraphicFramePr/>
      </xdr:nvGraphicFramePr>
      <xdr:xfrm>
        <a:off x="4933800" y="12891960"/>
        <a:ext cx="395748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6" min="4" style="1" width="28"/>
    <col collapsed="false" customWidth="true" hidden="false" outlineLevel="0" max="7" min="7" style="1" width="2"/>
  </cols>
  <sheetData>
    <row r="2" customFormat="false" ht="7.5" hidden="false" customHeight="true" outlineLevel="0" collapsed="false"/>
    <row r="3" customFormat="false" ht="15" hidden="false" customHeight="true" outlineLevel="0" collapsed="false">
      <c r="B3" s="2" t="s">
        <v>0</v>
      </c>
      <c r="C3" s="2"/>
      <c r="D3" s="2"/>
      <c r="E3" s="2"/>
      <c r="F3" s="2"/>
    </row>
    <row r="4" customFormat="false" ht="15" hidden="false" customHeight="true" outlineLevel="0" collapsed="false">
      <c r="B4" s="2"/>
      <c r="C4" s="2"/>
      <c r="D4" s="2"/>
      <c r="E4" s="2"/>
      <c r="F4" s="2"/>
    </row>
    <row r="5" customFormat="false" ht="15" hidden="false" customHeight="true" outlineLevel="0" collapsed="false">
      <c r="B5" s="2"/>
      <c r="C5" s="2"/>
      <c r="D5" s="2"/>
      <c r="E5" s="2"/>
      <c r="F5" s="2"/>
    </row>
    <row r="6" customFormat="false" ht="15" hidden="false" customHeight="true" outlineLevel="0" collapsed="false">
      <c r="B6" s="3" t="s">
        <v>1</v>
      </c>
      <c r="C6" s="3"/>
      <c r="D6" s="3"/>
      <c r="E6" s="3"/>
      <c r="F6" s="3"/>
    </row>
    <row r="8" customFormat="false" ht="23.25" hidden="false" customHeight="true" outlineLevel="0" collapsed="false">
      <c r="B8" s="4" t="s">
        <v>2</v>
      </c>
      <c r="C8" s="5" t="s">
        <v>3</v>
      </c>
    </row>
    <row r="9" customFormat="false" ht="15" hidden="false" customHeight="true" outlineLevel="0" collapsed="false">
      <c r="B9" s="4" t="s">
        <v>4</v>
      </c>
      <c r="C9" s="5" t="s">
        <v>5</v>
      </c>
    </row>
    <row r="10" customFormat="false" ht="15" hidden="false" customHeight="true" outlineLevel="0" collapsed="false">
      <c r="B10" s="4" t="s">
        <v>6</v>
      </c>
      <c r="C10" s="5" t="s">
        <v>7</v>
      </c>
    </row>
    <row r="11" customFormat="false" ht="15" hidden="false" customHeight="true" outlineLevel="0" collapsed="false">
      <c r="B11" s="4" t="s">
        <v>8</v>
      </c>
      <c r="C11" s="5" t="s">
        <v>9</v>
      </c>
    </row>
    <row r="12" customFormat="false" ht="34.5" hidden="false" customHeight="true" outlineLevel="0" collapsed="false">
      <c r="B12" s="4" t="s">
        <v>10</v>
      </c>
      <c r="C12" s="5" t="s">
        <v>11</v>
      </c>
    </row>
    <row r="14" customFormat="false" ht="17.25" hidden="false" customHeight="true" outlineLevel="0" collapsed="false">
      <c r="B14" s="6" t="s">
        <v>12</v>
      </c>
      <c r="C14" s="6"/>
      <c r="D14" s="6"/>
      <c r="E14" s="6"/>
      <c r="F14" s="6"/>
    </row>
    <row r="15" customFormat="false" ht="15" hidden="false" customHeight="true" outlineLevel="0" collapsed="false">
      <c r="B15" s="7" t="s">
        <v>13</v>
      </c>
      <c r="C15" s="8" t="s">
        <v>14</v>
      </c>
      <c r="D15" s="8"/>
      <c r="E15" s="8"/>
      <c r="F15" s="8"/>
    </row>
    <row r="16" customFormat="false" ht="15" hidden="false" customHeight="true" outlineLevel="0" collapsed="false">
      <c r="B16" s="7" t="s">
        <v>15</v>
      </c>
      <c r="C16" s="8" t="s">
        <v>16</v>
      </c>
      <c r="D16" s="8"/>
      <c r="E16" s="8"/>
      <c r="F16" s="8"/>
    </row>
    <row r="17" customFormat="false" ht="15" hidden="false" customHeight="true" outlineLevel="0" collapsed="false">
      <c r="B17" s="7" t="s">
        <v>17</v>
      </c>
      <c r="C17" s="8" t="s">
        <v>18</v>
      </c>
      <c r="D17" s="8"/>
      <c r="E17" s="8"/>
      <c r="F17" s="8"/>
    </row>
    <row r="18" customFormat="false" ht="15" hidden="false" customHeight="true" outlineLevel="0" collapsed="false">
      <c r="B18" s="7" t="s">
        <v>19</v>
      </c>
      <c r="C18" s="8" t="s">
        <v>20</v>
      </c>
      <c r="D18" s="8"/>
      <c r="E18" s="8"/>
      <c r="F18" s="8"/>
    </row>
    <row r="19" customFormat="false" ht="15" hidden="false" customHeight="true" outlineLevel="0" collapsed="false">
      <c r="B19" s="7" t="s">
        <v>21</v>
      </c>
      <c r="C19" s="8" t="s">
        <v>22</v>
      </c>
      <c r="D19" s="8"/>
      <c r="E19" s="8"/>
      <c r="F19" s="8"/>
    </row>
    <row r="20" customFormat="false" ht="15" hidden="false" customHeight="true" outlineLevel="0" collapsed="false">
      <c r="B20" s="7" t="s">
        <v>23</v>
      </c>
      <c r="C20" s="8" t="s">
        <v>24</v>
      </c>
      <c r="D20" s="8"/>
      <c r="E20" s="8"/>
      <c r="F20" s="8"/>
    </row>
    <row r="21" customFormat="false" ht="15" hidden="false" customHeight="true" outlineLevel="0" collapsed="false">
      <c r="B21" s="7" t="s">
        <v>25</v>
      </c>
      <c r="C21" s="8" t="s">
        <v>26</v>
      </c>
      <c r="D21" s="8"/>
      <c r="E21" s="8"/>
      <c r="F21" s="8"/>
    </row>
    <row r="22" customFormat="false" ht="15" hidden="false" customHeight="true" outlineLevel="0" collapsed="false">
      <c r="B22" s="7" t="s">
        <v>27</v>
      </c>
      <c r="C22" s="8" t="s">
        <v>28</v>
      </c>
      <c r="D22" s="8"/>
      <c r="E22" s="8"/>
      <c r="F22" s="8"/>
    </row>
    <row r="23" customFormat="false" ht="15" hidden="false" customHeight="true" outlineLevel="0" collapsed="false">
      <c r="B23" s="7" t="s">
        <v>29</v>
      </c>
      <c r="C23" s="8" t="s">
        <v>30</v>
      </c>
      <c r="D23" s="8"/>
      <c r="E23" s="8"/>
      <c r="F23" s="8"/>
    </row>
    <row r="25" customFormat="false" ht="15" hidden="false" customHeight="true" outlineLevel="0" collapsed="false">
      <c r="B25" s="9" t="s">
        <v>31</v>
      </c>
      <c r="C25" s="9"/>
      <c r="D25" s="9"/>
      <c r="E25" s="9"/>
      <c r="F25" s="9"/>
    </row>
    <row r="26" customFormat="false" ht="15" hidden="false" customHeight="true" outlineLevel="0" collapsed="false">
      <c r="B26" s="10" t="s">
        <v>32</v>
      </c>
      <c r="C26" s="11" t="s">
        <v>33</v>
      </c>
      <c r="D26" s="11"/>
      <c r="E26" s="11"/>
      <c r="F26" s="11"/>
    </row>
    <row r="27" customFormat="false" ht="15" hidden="false" customHeight="true" outlineLevel="0" collapsed="false">
      <c r="B27" s="4" t="s">
        <v>34</v>
      </c>
      <c r="C27" s="11" t="s">
        <v>35</v>
      </c>
      <c r="D27" s="11"/>
      <c r="E27" s="11"/>
      <c r="F27" s="11"/>
    </row>
    <row r="28" customFormat="false" ht="15" hidden="false" customHeight="true" outlineLevel="0" collapsed="false">
      <c r="B28" s="12" t="s">
        <v>36</v>
      </c>
      <c r="C28" s="11" t="s">
        <v>37</v>
      </c>
      <c r="D28" s="11"/>
      <c r="E28" s="11"/>
      <c r="F28" s="11"/>
    </row>
    <row r="29" customFormat="false" ht="15" hidden="false" customHeight="true" outlineLevel="0" collapsed="false">
      <c r="B29" s="13" t="s">
        <v>38</v>
      </c>
      <c r="C29" s="11" t="s">
        <v>39</v>
      </c>
      <c r="D29" s="11"/>
      <c r="E29" s="11"/>
      <c r="F29" s="11"/>
    </row>
  </sheetData>
  <mergeCells count="17">
    <mergeCell ref="B3:F5"/>
    <mergeCell ref="B6:F6"/>
    <mergeCell ref="B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B25:F25"/>
    <mergeCell ref="C26:F26"/>
    <mergeCell ref="C27:F27"/>
    <mergeCell ref="C28:F28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B2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8" min="3" style="1" width="22"/>
    <col collapsed="false" customWidth="true" hidden="false" outlineLevel="0" max="9" min="9" style="1" width="2"/>
  </cols>
  <sheetData>
    <row r="2" customFormat="false" ht="37.5" hidden="false" customHeight="true" outlineLevel="0" collapsed="false">
      <c r="B2" s="2" t="s">
        <v>40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9" t="s">
        <v>41</v>
      </c>
      <c r="C3" s="9"/>
      <c r="D3" s="9"/>
      <c r="E3" s="9"/>
      <c r="F3" s="9"/>
      <c r="G3" s="9"/>
      <c r="H3" s="9"/>
    </row>
    <row r="5" customFormat="false" ht="17.25" hidden="false" customHeight="true" outlineLevel="0" collapsed="false">
      <c r="B5" s="6" t="s">
        <v>42</v>
      </c>
      <c r="C5" s="6"/>
      <c r="D5" s="6"/>
      <c r="E5" s="6"/>
      <c r="F5" s="6"/>
      <c r="G5" s="6"/>
      <c r="H5" s="6"/>
    </row>
    <row r="6" customFormat="false" ht="21.75" hidden="false" customHeight="true" outlineLevel="0" collapsed="false">
      <c r="B6" s="14" t="s">
        <v>43</v>
      </c>
      <c r="C6" s="14"/>
      <c r="D6" s="14" t="s">
        <v>44</v>
      </c>
      <c r="E6" s="14"/>
      <c r="F6" s="15" t="s">
        <v>45</v>
      </c>
      <c r="G6" s="15"/>
    </row>
    <row r="7" customFormat="false" ht="42" hidden="false" customHeight="true" outlineLevel="0" collapsed="false">
      <c r="B7" s="16" t="n">
        <f aca="false">Invest_E1</f>
        <v>37500000</v>
      </c>
      <c r="C7" s="16"/>
      <c r="D7" s="17" t="n">
        <f aca="false">HNF_E1_Total</f>
        <v>7051.82</v>
      </c>
      <c r="E7" s="17"/>
      <c r="F7" s="18" t="n">
        <f aca="false">Mietertrag_E1_Soll</f>
        <v>2054973.6</v>
      </c>
      <c r="G7" s="18"/>
    </row>
    <row r="8" customFormat="false" ht="15.75" hidden="false" customHeight="true" outlineLevel="0" collapsed="false">
      <c r="B8" s="19" t="s">
        <v>46</v>
      </c>
      <c r="C8" s="19"/>
      <c r="D8" s="19" t="s">
        <v>47</v>
      </c>
      <c r="E8" s="19"/>
      <c r="F8" s="20" t="s">
        <v>48</v>
      </c>
      <c r="G8" s="20"/>
    </row>
    <row r="10" customFormat="false" ht="21.75" hidden="false" customHeight="true" outlineLevel="0" collapsed="false">
      <c r="B10" s="15" t="s">
        <v>49</v>
      </c>
      <c r="C10" s="15"/>
      <c r="D10" s="21" t="s">
        <v>50</v>
      </c>
      <c r="E10" s="21"/>
      <c r="F10" s="21" t="s">
        <v>51</v>
      </c>
      <c r="G10" s="21"/>
    </row>
    <row r="11" customFormat="false" ht="42" hidden="false" customHeight="true" outlineLevel="0" collapsed="false">
      <c r="B11" s="18" t="n">
        <f aca="false">Mietertrag_E1_eff</f>
        <v>1952224.92</v>
      </c>
      <c r="C11" s="18"/>
      <c r="D11" s="22" t="n">
        <f aca="false">BruttoRendite_E1_eff</f>
        <v>0.0520593312</v>
      </c>
      <c r="E11" s="22"/>
      <c r="F11" s="22" t="n">
        <f aca="false">NettoRendite_E1</f>
        <v>0.03945549312</v>
      </c>
      <c r="G11" s="22"/>
    </row>
    <row r="12" customFormat="false" ht="15.75" hidden="false" customHeight="true" outlineLevel="0" collapsed="false">
      <c r="B12" s="20" t="s">
        <v>52</v>
      </c>
      <c r="C12" s="20"/>
      <c r="D12" s="23" t="s">
        <v>53</v>
      </c>
      <c r="E12" s="23"/>
      <c r="F12" s="23" t="s">
        <v>54</v>
      </c>
      <c r="G12" s="23"/>
    </row>
    <row r="14" customFormat="false" ht="17.25" hidden="false" customHeight="true" outlineLevel="0" collapsed="false">
      <c r="B14" s="6" t="s">
        <v>55</v>
      </c>
      <c r="C14" s="6"/>
      <c r="D14" s="6"/>
      <c r="E14" s="6"/>
      <c r="F14" s="6"/>
      <c r="G14" s="6"/>
      <c r="H14" s="6"/>
    </row>
    <row r="15" customFormat="false" ht="21.75" hidden="false" customHeight="true" outlineLevel="0" collapsed="false">
      <c r="B15" s="14" t="s">
        <v>43</v>
      </c>
      <c r="C15" s="14"/>
      <c r="D15" s="14" t="s">
        <v>44</v>
      </c>
      <c r="E15" s="14"/>
      <c r="F15" s="15" t="s">
        <v>45</v>
      </c>
      <c r="G15" s="15"/>
    </row>
    <row r="16" customFormat="false" ht="42" hidden="false" customHeight="true" outlineLevel="0" collapsed="false">
      <c r="B16" s="16" t="n">
        <f aca="false">Invest_Total</f>
        <v>75000000</v>
      </c>
      <c r="C16" s="16"/>
      <c r="D16" s="17" t="n">
        <f aca="false">HNF_Total</f>
        <v>14103.64</v>
      </c>
      <c r="E16" s="17"/>
      <c r="F16" s="18" t="n">
        <f aca="false">Mietertrag_Total_Soll</f>
        <v>4151046.672</v>
      </c>
      <c r="G16" s="18"/>
    </row>
    <row r="17" customFormat="false" ht="15.75" hidden="false" customHeight="true" outlineLevel="0" collapsed="false">
      <c r="B17" s="19" t="s">
        <v>56</v>
      </c>
      <c r="C17" s="19"/>
      <c r="D17" s="19" t="s">
        <v>47</v>
      </c>
      <c r="E17" s="19"/>
      <c r="F17" s="20" t="s">
        <v>48</v>
      </c>
      <c r="G17" s="20"/>
    </row>
    <row r="19" customFormat="false" ht="21.75" hidden="false" customHeight="true" outlineLevel="0" collapsed="false">
      <c r="B19" s="15" t="s">
        <v>49</v>
      </c>
      <c r="C19" s="15"/>
      <c r="D19" s="21" t="s">
        <v>50</v>
      </c>
      <c r="E19" s="21"/>
      <c r="F19" s="21" t="s">
        <v>57</v>
      </c>
      <c r="G19" s="21"/>
    </row>
    <row r="20" customFormat="false" ht="42" hidden="false" customHeight="true" outlineLevel="0" collapsed="false">
      <c r="B20" s="18" t="n">
        <f aca="false">Mietertrag_Total_eff</f>
        <v>3838690.6848</v>
      </c>
      <c r="C20" s="18"/>
      <c r="D20" s="22" t="n">
        <f aca="false">BruttoRendite_Total_eff</f>
        <v>0.051182542464</v>
      </c>
      <c r="E20" s="22"/>
      <c r="F20" s="22" t="n">
        <f aca="false">EKRendite_Total</f>
        <v>0.0698422200106667</v>
      </c>
      <c r="G20" s="22"/>
    </row>
    <row r="21" customFormat="false" ht="15.75" hidden="false" customHeight="true" outlineLevel="0" collapsed="false">
      <c r="B21" s="20" t="s">
        <v>52</v>
      </c>
      <c r="C21" s="20"/>
      <c r="D21" s="23" t="s">
        <v>53</v>
      </c>
      <c r="E21" s="23"/>
      <c r="F21" s="23" t="s">
        <v>58</v>
      </c>
      <c r="G21" s="23"/>
    </row>
    <row r="23" customFormat="false" ht="17.25" hidden="false" customHeight="true" outlineLevel="0" collapsed="false">
      <c r="B23" s="24" t="s">
        <v>59</v>
      </c>
      <c r="C23" s="24"/>
      <c r="D23" s="24"/>
      <c r="E23" s="24"/>
      <c r="F23" s="24"/>
      <c r="G23" s="24"/>
      <c r="H23" s="24"/>
    </row>
    <row r="24" customFormat="false" ht="15" hidden="false" customHeight="true" outlineLevel="0" collapsed="false">
      <c r="B24" s="25" t="s">
        <v>60</v>
      </c>
      <c r="C24" s="25"/>
      <c r="D24" s="25"/>
      <c r="E24" s="25" t="s">
        <v>61</v>
      </c>
      <c r="F24" s="25" t="s">
        <v>62</v>
      </c>
      <c r="G24" s="25" t="s">
        <v>63</v>
      </c>
    </row>
    <row r="25" customFormat="false" ht="15" hidden="false" customHeight="true" outlineLevel="0" collapsed="false">
      <c r="B25" s="11" t="s">
        <v>64</v>
      </c>
      <c r="C25" s="11"/>
      <c r="D25" s="11"/>
      <c r="E25" s="26" t="n">
        <f aca="false">Invest_E1</f>
        <v>37500000</v>
      </c>
      <c r="F25" s="26" t="n">
        <f aca="false">Invest_E2</f>
        <v>37500000</v>
      </c>
      <c r="G25" s="27" t="n">
        <f aca="false">Invest_Total</f>
        <v>75000000</v>
      </c>
    </row>
    <row r="26" customFormat="false" ht="15" hidden="false" customHeight="true" outlineLevel="0" collapsed="false">
      <c r="B26" s="11" t="s">
        <v>45</v>
      </c>
      <c r="C26" s="11"/>
      <c r="D26" s="11"/>
      <c r="E26" s="26" t="n">
        <f aca="false">Mietertrag_E1_Soll</f>
        <v>2054973.6</v>
      </c>
      <c r="F26" s="26" t="n">
        <f aca="false">Mietertrag_Total_Soll-Mietertrag_E1_Soll</f>
        <v>2096073.072</v>
      </c>
      <c r="G26" s="27" t="n">
        <f aca="false">Mietertrag_Total_Soll</f>
        <v>4151046.672</v>
      </c>
    </row>
    <row r="27" customFormat="false" ht="15" hidden="false" customHeight="true" outlineLevel="0" collapsed="false">
      <c r="B27" s="11" t="s">
        <v>65</v>
      </c>
      <c r="C27" s="11"/>
      <c r="D27" s="11"/>
      <c r="E27" s="26" t="n">
        <f aca="false">Mietertrag_E1_eff</f>
        <v>1952224.92</v>
      </c>
      <c r="F27" s="26" t="n">
        <f aca="false">Mietertrag_Total_eff-Mietertrag_E1_eff</f>
        <v>1886465.7648</v>
      </c>
      <c r="G27" s="27" t="n">
        <f aca="false">Mietertrag_Total_eff</f>
        <v>3838690.6848</v>
      </c>
    </row>
    <row r="28" customFormat="false" ht="15" hidden="false" customHeight="true" outlineLevel="0" collapsed="false">
      <c r="B28" s="11" t="s">
        <v>66</v>
      </c>
      <c r="C28" s="11"/>
      <c r="D28" s="11"/>
      <c r="E28" s="28" t="n">
        <f aca="false">HNF_E1_Total</f>
        <v>7051.82</v>
      </c>
      <c r="F28" s="28" t="n">
        <f aca="false">HNF_Total-HNF_E1_Total</f>
        <v>7051.82</v>
      </c>
      <c r="G28" s="29" t="n">
        <f aca="false">HNF_Total</f>
        <v>14103.64</v>
      </c>
    </row>
    <row r="29" customFormat="false" ht="15" hidden="false" customHeight="true" outlineLevel="0" collapsed="false">
      <c r="B29" s="11" t="s">
        <v>50</v>
      </c>
      <c r="C29" s="11"/>
      <c r="D29" s="11"/>
      <c r="E29" s="30" t="n">
        <f aca="false">BruttoRendite_E1_eff</f>
        <v>0.0520593312</v>
      </c>
      <c r="F29" s="30"/>
      <c r="G29" s="31" t="n">
        <f aca="false">BruttoRendite_Total_eff</f>
        <v>0.051182542464</v>
      </c>
    </row>
    <row r="30" customFormat="false" ht="15" hidden="false" customHeight="true" outlineLevel="0" collapsed="false">
      <c r="B30" s="11" t="s">
        <v>51</v>
      </c>
      <c r="C30" s="11"/>
      <c r="D30" s="11"/>
      <c r="E30" s="30" t="n">
        <f aca="false">NettoRendite_E1</f>
        <v>0.03945549312</v>
      </c>
      <c r="F30" s="30"/>
      <c r="G30" s="31" t="n">
        <f aca="false">NettoRendite_Total</f>
        <v>0.0384526660032</v>
      </c>
    </row>
    <row r="31" customFormat="false" ht="15" hidden="false" customHeight="true" outlineLevel="0" collapsed="false">
      <c r="B31" s="11" t="s">
        <v>57</v>
      </c>
      <c r="C31" s="11"/>
      <c r="D31" s="11"/>
      <c r="E31" s="30" t="n">
        <f aca="false">EKRendite_E1</f>
        <v>0.0731849770666667</v>
      </c>
      <c r="F31" s="30"/>
      <c r="G31" s="31" t="n">
        <f aca="false">EKRendite_Total</f>
        <v>0.0698422200106667</v>
      </c>
    </row>
    <row r="34" customFormat="false" ht="17.25" hidden="false" customHeight="true" outlineLevel="0" collapsed="false">
      <c r="B34" s="6" t="s">
        <v>67</v>
      </c>
      <c r="C34" s="6"/>
      <c r="D34" s="6"/>
      <c r="E34" s="6"/>
      <c r="F34" s="6"/>
    </row>
    <row r="35" customFormat="false" ht="15" hidden="false" customHeight="true" outlineLevel="0" collapsed="false">
      <c r="B35" s="25" t="s">
        <v>68</v>
      </c>
      <c r="C35" s="25" t="s">
        <v>69</v>
      </c>
      <c r="D35" s="25" t="s">
        <v>70</v>
      </c>
      <c r="E35" s="25" t="s">
        <v>71</v>
      </c>
      <c r="F35" s="25" t="s">
        <v>72</v>
      </c>
    </row>
    <row r="36" customFormat="false" ht="15" hidden="false" customHeight="true" outlineLevel="0" collapsed="false">
      <c r="B36" s="5" t="s">
        <v>73</v>
      </c>
      <c r="C36" s="26" t="n">
        <f aca="false">SUM('03 Flächenspiegel'!H28:H31)</f>
        <v>178179.96</v>
      </c>
      <c r="D36" s="26" t="n">
        <f aca="false">SUM('03 Flächenspiegel'!H50:H53)</f>
        <v>178179.96</v>
      </c>
      <c r="E36" s="26" t="n">
        <f aca="false">SUM('03 Flächenspiegel'!H72:H75)</f>
        <v>173967.36</v>
      </c>
      <c r="F36" s="27" t="n">
        <f aca="false">SUM(C36:E36)</f>
        <v>530327.28</v>
      </c>
    </row>
    <row r="37" customFormat="false" ht="15" hidden="false" customHeight="true" outlineLevel="0" collapsed="false">
      <c r="B37" s="5" t="s">
        <v>74</v>
      </c>
      <c r="C37" s="26" t="n">
        <f aca="false">SUM('03 Flächenspiegel'!H32:H37)</f>
        <v>124216.8</v>
      </c>
      <c r="D37" s="26" t="n">
        <f aca="false">SUM('03 Flächenspiegel'!H54:H59)</f>
        <v>124216.8</v>
      </c>
      <c r="E37" s="26" t="n">
        <f aca="false">SUM('03 Flächenspiegel'!H76:H81)</f>
        <v>139717.2</v>
      </c>
      <c r="F37" s="27" t="n">
        <f aca="false">SUM(C37:E37)</f>
        <v>388150.8</v>
      </c>
    </row>
    <row r="38" customFormat="false" ht="15" hidden="false" customHeight="true" outlineLevel="0" collapsed="false">
      <c r="B38" s="5" t="s">
        <v>75</v>
      </c>
      <c r="C38" s="26" t="n">
        <f aca="false">SUM('03 Flächenspiegel'!H38:H40)</f>
        <v>309772.32</v>
      </c>
      <c r="D38" s="26" t="n">
        <f aca="false">SUM('03 Flächenspiegel'!H60:H62)</f>
        <v>309772.32</v>
      </c>
      <c r="E38" s="26" t="n">
        <f aca="false">SUM('03 Flächenspiegel'!H82:H84)</f>
        <v>309772.32</v>
      </c>
      <c r="F38" s="27" t="n">
        <f aca="false">SUM(C38:E38)</f>
        <v>929316.96</v>
      </c>
    </row>
    <row r="39" customFormat="false" ht="15" hidden="false" customHeight="true" outlineLevel="0" collapsed="false">
      <c r="B39" s="5" t="s">
        <v>76</v>
      </c>
      <c r="C39" s="26" t="n">
        <f aca="false">SUM('03 Flächenspiegel'!H41:H43)</f>
        <v>69059.52</v>
      </c>
      <c r="D39" s="26" t="n">
        <f aca="false">SUM('03 Flächenspiegel'!H63:H65)</f>
        <v>69059.52</v>
      </c>
      <c r="E39" s="26" t="n">
        <f aca="false">SUM('03 Flächenspiegel'!H85:H87)</f>
        <v>69059.52</v>
      </c>
      <c r="F39" s="27" t="n">
        <f aca="false">SUM(C39:E39)</f>
        <v>207178.56</v>
      </c>
    </row>
    <row r="59" customFormat="false" ht="15" hidden="false" customHeight="true" outlineLevel="0" collapsed="false">
      <c r="B59" s="32" t="s">
        <v>77</v>
      </c>
      <c r="C59" s="32" t="s">
        <v>78</v>
      </c>
    </row>
    <row r="60" customFormat="false" ht="15" hidden="false" customHeight="true" outlineLevel="0" collapsed="false">
      <c r="B60" s="33" t="s">
        <v>69</v>
      </c>
      <c r="C60" s="34" t="n">
        <f aca="false">Mietertrag_A</f>
        <v>681228.6</v>
      </c>
    </row>
    <row r="61" customFormat="false" ht="15" hidden="false" customHeight="true" outlineLevel="0" collapsed="false">
      <c r="B61" s="33" t="s">
        <v>70</v>
      </c>
      <c r="C61" s="34" t="n">
        <f aca="false">Mietertrag_B</f>
        <v>681228.6</v>
      </c>
    </row>
    <row r="62" customFormat="false" ht="15" hidden="false" customHeight="true" outlineLevel="0" collapsed="false">
      <c r="B62" s="33" t="s">
        <v>71</v>
      </c>
      <c r="C62" s="34" t="n">
        <f aca="false">Mietertrag_C</f>
        <v>692516.4</v>
      </c>
    </row>
  </sheetData>
  <mergeCells count="50">
    <mergeCell ref="B2:H2"/>
    <mergeCell ref="B3:H3"/>
    <mergeCell ref="B5:H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4:H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3:H23"/>
    <mergeCell ref="B24:D24"/>
    <mergeCell ref="B25:D25"/>
    <mergeCell ref="B26:D26"/>
    <mergeCell ref="B27:D27"/>
    <mergeCell ref="B28:D28"/>
    <mergeCell ref="B29:D29"/>
    <mergeCell ref="B30:D30"/>
    <mergeCell ref="B31:D31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2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6" min="3" style="1" width="18"/>
    <col collapsed="false" customWidth="true" hidden="false" outlineLevel="0" max="7" min="7" style="1" width="4"/>
    <col collapsed="false" customWidth="true" hidden="false" outlineLevel="0" max="11" min="8" style="1" width="18"/>
    <col collapsed="false" customWidth="true" hidden="false" outlineLevel="0" max="12" min="12" style="1" width="3"/>
  </cols>
  <sheetData>
    <row r="2" customFormat="false" ht="21.75" hidden="false" customHeight="true" outlineLevel="0" collapsed="false">
      <c r="B2" s="35" t="s">
        <v>79</v>
      </c>
      <c r="C2" s="35"/>
      <c r="D2" s="35"/>
      <c r="E2" s="35"/>
      <c r="F2" s="35"/>
      <c r="G2" s="35"/>
      <c r="H2" s="35"/>
      <c r="I2" s="35"/>
      <c r="J2" s="35"/>
      <c r="K2" s="35"/>
    </row>
    <row r="3" customFormat="false" ht="15" hidden="false" customHeight="true" outlineLevel="0" collapsed="false">
      <c r="B3" s="36" t="s">
        <v>80</v>
      </c>
      <c r="C3" s="36"/>
      <c r="D3" s="36"/>
      <c r="E3" s="36"/>
      <c r="F3" s="36"/>
      <c r="G3" s="36"/>
      <c r="H3" s="36"/>
      <c r="I3" s="36"/>
      <c r="J3" s="36"/>
      <c r="K3" s="36"/>
    </row>
    <row r="5" customFormat="false" ht="17.25" hidden="false" customHeight="true" outlineLevel="0" collapsed="false">
      <c r="B5" s="24" t="s">
        <v>81</v>
      </c>
      <c r="C5" s="24"/>
      <c r="D5" s="24"/>
      <c r="E5" s="24"/>
      <c r="F5" s="24"/>
    </row>
    <row r="6" customFormat="false" ht="23.25" hidden="false" customHeight="true" outlineLevel="0" collapsed="false">
      <c r="B6" s="37" t="s">
        <v>82</v>
      </c>
      <c r="C6" s="38" t="n">
        <v>0.18</v>
      </c>
      <c r="D6" s="39" t="s">
        <v>83</v>
      </c>
      <c r="E6" s="39"/>
      <c r="F6" s="39"/>
    </row>
    <row r="7" customFormat="false" ht="23.25" hidden="false" customHeight="true" outlineLevel="0" collapsed="false">
      <c r="B7" s="37" t="s">
        <v>84</v>
      </c>
      <c r="C7" s="38" t="n">
        <v>0.05</v>
      </c>
      <c r="D7" s="39" t="s">
        <v>85</v>
      </c>
      <c r="E7" s="39"/>
      <c r="F7" s="39"/>
    </row>
    <row r="8" customFormat="false" ht="15" hidden="false" customHeight="true" outlineLevel="0" collapsed="false">
      <c r="B8" s="37" t="s">
        <v>86</v>
      </c>
      <c r="C8" s="38" t="n">
        <v>0.3</v>
      </c>
      <c r="D8" s="39" t="s">
        <v>87</v>
      </c>
      <c r="E8" s="39"/>
      <c r="F8" s="39"/>
    </row>
    <row r="9" customFormat="false" ht="15" hidden="false" customHeight="true" outlineLevel="0" collapsed="false">
      <c r="B9" s="37" t="s">
        <v>88</v>
      </c>
      <c r="C9" s="38" t="n">
        <v>0.025</v>
      </c>
      <c r="D9" s="39" t="s">
        <v>89</v>
      </c>
      <c r="E9" s="39"/>
      <c r="F9" s="39"/>
    </row>
    <row r="10" customFormat="false" ht="15" hidden="false" customHeight="true" outlineLevel="0" collapsed="false">
      <c r="B10" s="37" t="s">
        <v>90</v>
      </c>
      <c r="C10" s="38" t="n">
        <v>0.01</v>
      </c>
      <c r="D10" s="39" t="s">
        <v>91</v>
      </c>
      <c r="E10" s="39"/>
      <c r="F10" s="39"/>
    </row>
    <row r="13" customFormat="false" ht="17.25" hidden="false" customHeight="true" outlineLevel="0" collapsed="false">
      <c r="B13" s="24" t="s">
        <v>92</v>
      </c>
      <c r="C13" s="24"/>
      <c r="D13" s="24"/>
      <c r="E13" s="24"/>
    </row>
    <row r="14" customFormat="false" ht="15" hidden="false" customHeight="true" outlineLevel="0" collapsed="false">
      <c r="B14" s="25" t="s">
        <v>93</v>
      </c>
      <c r="C14" s="25" t="s">
        <v>61</v>
      </c>
      <c r="D14" s="25" t="s">
        <v>62</v>
      </c>
      <c r="E14" s="25" t="s">
        <v>63</v>
      </c>
    </row>
    <row r="15" customFormat="false" ht="15" hidden="false" customHeight="true" outlineLevel="0" collapsed="false">
      <c r="B15" s="40" t="s">
        <v>45</v>
      </c>
      <c r="C15" s="41" t="n">
        <f aca="false">Mietertrag_E1_Soll</f>
        <v>2054973.6</v>
      </c>
      <c r="D15" s="41" t="n">
        <f aca="false">Mietertrag_E1_Soll/Hauser_E1*Hauser_E2*Miet_Faktor_E2</f>
        <v>2096073.072</v>
      </c>
      <c r="E15" s="42" t="n">
        <f aca="false">C15+D15</f>
        <v>4151046.672</v>
      </c>
    </row>
    <row r="16" customFormat="false" ht="15" hidden="false" customHeight="true" outlineLevel="0" collapsed="false">
      <c r="B16" s="5" t="s">
        <v>94</v>
      </c>
      <c r="C16" s="43" t="n">
        <f aca="false">C15-Mietertrag_E1_eff</f>
        <v>102748.68</v>
      </c>
      <c r="D16" s="43" t="n">
        <f aca="false">D15-(Mietertrag_E1_Soll/Hauser_E1*Hauser_E2*Miet_Faktor_E2*(1-Leerstand_E2))</f>
        <v>209607.3072</v>
      </c>
      <c r="E16" s="42" t="n">
        <f aca="false">C16+D16</f>
        <v>312355.9872</v>
      </c>
    </row>
    <row r="17" customFormat="false" ht="15" hidden="false" customHeight="true" outlineLevel="0" collapsed="false">
      <c r="B17" s="44" t="s">
        <v>95</v>
      </c>
      <c r="C17" s="45" t="n">
        <f aca="false">Mietertrag_E1_eff</f>
        <v>1952224.92</v>
      </c>
      <c r="D17" s="45" t="n">
        <f aca="false">Mietertrag_E1_Soll/Hauser_E1*Hauser_E2*Miet_Faktor_E2*(1-Leerstand_E2)</f>
        <v>1886465.7648</v>
      </c>
      <c r="E17" s="27" t="n">
        <f aca="false">C17+D17</f>
        <v>3838690.6848</v>
      </c>
    </row>
    <row r="18" customFormat="false" ht="15" hidden="false" customHeight="true" outlineLevel="0" collapsed="false">
      <c r="B18" s="5" t="s">
        <v>96</v>
      </c>
      <c r="C18" s="43" t="n">
        <f aca="false">C15*Bewirt_PCT</f>
        <v>369895.248</v>
      </c>
      <c r="D18" s="43" t="n">
        <f aca="false">D15*Bewirt_PCT</f>
        <v>377293.15296</v>
      </c>
      <c r="E18" s="42" t="n">
        <f aca="false">C18+D18</f>
        <v>747188.40096</v>
      </c>
    </row>
    <row r="19" customFormat="false" ht="15" hidden="false" customHeight="true" outlineLevel="0" collapsed="false">
      <c r="B19" s="5" t="s">
        <v>97</v>
      </c>
      <c r="C19" s="43" t="n">
        <f aca="false">C15*Unterhalt_PCT</f>
        <v>102748.68</v>
      </c>
      <c r="D19" s="43" t="n">
        <f aca="false">D15*Unterhalt_PCT</f>
        <v>104803.6536</v>
      </c>
      <c r="E19" s="42" t="n">
        <f aca="false">C19+D19</f>
        <v>207552.3336</v>
      </c>
    </row>
    <row r="20" customFormat="false" ht="15" hidden="false" customHeight="true" outlineLevel="0" collapsed="false">
      <c r="B20" s="46" t="s">
        <v>98</v>
      </c>
      <c r="C20" s="27" t="n">
        <f aca="false">C17-C18-C19</f>
        <v>1479580.992</v>
      </c>
      <c r="D20" s="27" t="n">
        <f aca="false">D17-D18-D19</f>
        <v>1404368.95824</v>
      </c>
      <c r="E20" s="27" t="n">
        <f aca="false">C20+D20</f>
        <v>2883949.95024</v>
      </c>
    </row>
    <row r="21" customFormat="false" ht="15" hidden="false" customHeight="true" outlineLevel="0" collapsed="false">
      <c r="B21" s="40" t="s">
        <v>99</v>
      </c>
      <c r="C21" s="41" t="n">
        <f aca="false">Invest_E1</f>
        <v>37500000</v>
      </c>
      <c r="D21" s="41" t="n">
        <f aca="false">Invest_E2</f>
        <v>37500000</v>
      </c>
      <c r="E21" s="42" t="n">
        <f aca="false">C21+D21</f>
        <v>75000000</v>
      </c>
    </row>
    <row r="22" customFormat="false" ht="15" hidden="false" customHeight="true" outlineLevel="0" collapsed="false">
      <c r="B22" s="5" t="s">
        <v>100</v>
      </c>
      <c r="C22" s="43" t="n">
        <f aca="false">C21*EK_PCT</f>
        <v>11250000</v>
      </c>
      <c r="D22" s="43" t="n">
        <f aca="false">D21*EK_PCT</f>
        <v>11250000</v>
      </c>
      <c r="E22" s="42" t="n">
        <f aca="false">C22+D22</f>
        <v>22500000</v>
      </c>
    </row>
    <row r="23" customFormat="false" ht="15" hidden="false" customHeight="true" outlineLevel="0" collapsed="false">
      <c r="B23" s="5" t="s">
        <v>101</v>
      </c>
      <c r="C23" s="43" t="n">
        <f aca="false">C21*(1-EK_PCT)</f>
        <v>26250000</v>
      </c>
      <c r="D23" s="43" t="n">
        <f aca="false">D21*(1-EK_PCT)</f>
        <v>26250000</v>
      </c>
      <c r="E23" s="42" t="n">
        <f aca="false">C23+D23</f>
        <v>52500000</v>
      </c>
    </row>
    <row r="24" customFormat="false" ht="15" hidden="false" customHeight="true" outlineLevel="0" collapsed="false">
      <c r="B24" s="5" t="s">
        <v>102</v>
      </c>
      <c r="C24" s="43" t="n">
        <f aca="false">C23*FK_Zins</f>
        <v>656250</v>
      </c>
      <c r="D24" s="43" t="n">
        <f aca="false">D23*FK_Zins</f>
        <v>656250</v>
      </c>
      <c r="E24" s="42" t="n">
        <f aca="false">C24+D24</f>
        <v>1312500</v>
      </c>
    </row>
    <row r="26" customFormat="false" ht="17.25" hidden="false" customHeight="true" outlineLevel="0" collapsed="false">
      <c r="B26" s="24" t="s">
        <v>103</v>
      </c>
      <c r="C26" s="24"/>
      <c r="D26" s="24"/>
      <c r="E26" s="24"/>
    </row>
    <row r="27" customFormat="false" ht="26.25" hidden="false" customHeight="true" outlineLevel="0" collapsed="false">
      <c r="B27" s="47" t="s">
        <v>104</v>
      </c>
      <c r="C27" s="48" t="n">
        <f aca="false">C15/C21</f>
        <v>0.054799296</v>
      </c>
      <c r="D27" s="48" t="n">
        <f aca="false">D15/D21</f>
        <v>0.05589528192</v>
      </c>
      <c r="E27" s="49" t="n">
        <f aca="false">E15/E21</f>
        <v>0.05534728896</v>
      </c>
    </row>
    <row r="28" customFormat="false" ht="15" hidden="false" customHeight="true" outlineLevel="0" collapsed="false">
      <c r="B28" s="47" t="s">
        <v>105</v>
      </c>
      <c r="C28" s="48" t="n">
        <f aca="false">C17/C21</f>
        <v>0.0520593312</v>
      </c>
      <c r="D28" s="48" t="n">
        <f aca="false">D17/D21</f>
        <v>0.050305753728</v>
      </c>
      <c r="E28" s="49" t="n">
        <f aca="false">E17/E21</f>
        <v>0.051182542464</v>
      </c>
    </row>
    <row r="29" customFormat="false" ht="15" hidden="false" customHeight="true" outlineLevel="0" collapsed="false">
      <c r="B29" s="47" t="s">
        <v>106</v>
      </c>
      <c r="C29" s="48" t="n">
        <f aca="false">C20/C21</f>
        <v>0.03945549312</v>
      </c>
      <c r="D29" s="48" t="n">
        <f aca="false">D20/D21</f>
        <v>0.0374498388864</v>
      </c>
      <c r="E29" s="49" t="n">
        <f aca="false">E20/E21</f>
        <v>0.0384526660032</v>
      </c>
    </row>
    <row r="30" customFormat="false" ht="15" hidden="false" customHeight="true" outlineLevel="0" collapsed="false">
      <c r="B30" s="47" t="s">
        <v>107</v>
      </c>
      <c r="C30" s="48" t="n">
        <f aca="false">(C20-C24)/C22</f>
        <v>0.0731849770666667</v>
      </c>
      <c r="D30" s="48" t="n">
        <f aca="false">(D20-D24)/D22</f>
        <v>0.0664994629546667</v>
      </c>
      <c r="E30" s="49" t="n">
        <f aca="false">(E20-E24)/E22</f>
        <v>0.0698422200106667</v>
      </c>
    </row>
    <row r="33" customFormat="false" ht="17.25" hidden="false" customHeight="true" outlineLevel="0" collapsed="false">
      <c r="B33" s="24" t="s">
        <v>108</v>
      </c>
      <c r="C33" s="24"/>
      <c r="D33" s="24"/>
      <c r="E33" s="24"/>
      <c r="F33" s="24"/>
      <c r="G33" s="24"/>
      <c r="H33" s="24"/>
      <c r="I33" s="24"/>
      <c r="J33" s="24"/>
      <c r="K33" s="24"/>
    </row>
    <row r="34" customFormat="false" ht="15" hidden="false" customHeight="true" outlineLevel="0" collapsed="false">
      <c r="B34" s="50" t="s">
        <v>109</v>
      </c>
      <c r="C34" s="50"/>
      <c r="D34" s="50"/>
      <c r="E34" s="50"/>
      <c r="F34" s="50"/>
      <c r="G34" s="50"/>
      <c r="H34" s="50"/>
      <c r="I34" s="50"/>
      <c r="J34" s="50"/>
      <c r="K34" s="50"/>
    </row>
    <row r="35" customFormat="false" ht="23.25" hidden="false" customHeight="true" outlineLevel="0" collapsed="false">
      <c r="B35" s="51" t="s">
        <v>110</v>
      </c>
      <c r="C35" s="52" t="n">
        <v>-0.1</v>
      </c>
      <c r="D35" s="52" t="n">
        <v>-0.05</v>
      </c>
      <c r="E35" s="52" t="n">
        <v>0</v>
      </c>
      <c r="F35" s="52" t="n">
        <v>0.05</v>
      </c>
      <c r="G35" s="52" t="n">
        <v>0.1</v>
      </c>
    </row>
    <row r="36" customFormat="false" ht="23.25" hidden="false" customHeight="true" outlineLevel="0" collapsed="false">
      <c r="B36" s="52" t="n">
        <v>-0.1</v>
      </c>
      <c r="C36" s="53" t="n">
        <f aca="false">(Mietertrag_Total_Soll*(1+$B36))/(Invest_Total*(1+C$35))</f>
        <v>0.05534728896</v>
      </c>
      <c r="D36" s="53" t="n">
        <f aca="false">(Mietertrag_Total_Soll*(1+$B36))/(Invest_Total*(1+D$35))</f>
        <v>0.0524342737515789</v>
      </c>
      <c r="E36" s="53" t="n">
        <f aca="false">(Mietertrag_Total_Soll*(1+$B36))/(Invest_Total*(1+E$35))</f>
        <v>0.049812560064</v>
      </c>
      <c r="F36" s="53" t="n">
        <f aca="false">(Mietertrag_Total_Soll*(1+$B36))/(Invest_Total*(1+F$35))</f>
        <v>0.0474405333942857</v>
      </c>
      <c r="G36" s="53" t="n">
        <f aca="false">(Mietertrag_Total_Soll*(1+$B36))/(Invest_Total*(1+G$35))</f>
        <v>0.0452841455127273</v>
      </c>
    </row>
    <row r="37" customFormat="false" ht="23.25" hidden="false" customHeight="true" outlineLevel="0" collapsed="false">
      <c r="B37" s="52" t="n">
        <v>-0.05</v>
      </c>
      <c r="C37" s="53" t="n">
        <f aca="false">(Mietertrag_Total_Soll*(1+$B37))/(Invest_Total*(1+C$35))</f>
        <v>0.0584221383466667</v>
      </c>
      <c r="D37" s="53" t="n">
        <f aca="false">(Mietertrag_Total_Soll*(1+$B37))/(Invest_Total*(1+D$35))</f>
        <v>0.05534728896</v>
      </c>
      <c r="E37" s="53" t="n">
        <f aca="false">(Mietertrag_Total_Soll*(1+$B37))/(Invest_Total*(1+E$35))</f>
        <v>0.052579924512</v>
      </c>
      <c r="F37" s="53" t="n">
        <f aca="false">(Mietertrag_Total_Soll*(1+$B37))/(Invest_Total*(1+F$35))</f>
        <v>0.0500761185828571</v>
      </c>
      <c r="G37" s="53" t="n">
        <f aca="false">(Mietertrag_Total_Soll*(1+$B37))/(Invest_Total*(1+G$35))</f>
        <v>0.0477999313745455</v>
      </c>
    </row>
    <row r="38" customFormat="false" ht="23.25" hidden="false" customHeight="true" outlineLevel="0" collapsed="false">
      <c r="B38" s="52" t="n">
        <v>0</v>
      </c>
      <c r="C38" s="53" t="n">
        <f aca="false">(Mietertrag_Total_Soll*(1+$B38))/(Invest_Total*(1+C$35))</f>
        <v>0.0614969877333333</v>
      </c>
      <c r="D38" s="53" t="n">
        <f aca="false">(Mietertrag_Total_Soll*(1+$B38))/(Invest_Total*(1+D$35))</f>
        <v>0.0582603041684211</v>
      </c>
      <c r="E38" s="54" t="n">
        <f aca="false">(Mietertrag_Total_Soll*(1+$B38))/(Invest_Total*(1+E$35))</f>
        <v>0.05534728896</v>
      </c>
      <c r="F38" s="53" t="n">
        <f aca="false">(Mietertrag_Total_Soll*(1+$B38))/(Invest_Total*(1+F$35))</f>
        <v>0.0527117037714286</v>
      </c>
      <c r="G38" s="53" t="n">
        <f aca="false">(Mietertrag_Total_Soll*(1+$B38))/(Invest_Total*(1+G$35))</f>
        <v>0.0503157172363636</v>
      </c>
    </row>
    <row r="39" customFormat="false" ht="23.25" hidden="false" customHeight="true" outlineLevel="0" collapsed="false">
      <c r="B39" s="52" t="n">
        <v>0.05</v>
      </c>
      <c r="C39" s="53" t="n">
        <f aca="false">(Mietertrag_Total_Soll*(1+$B39))/(Invest_Total*(1+C$35))</f>
        <v>0.06457183712</v>
      </c>
      <c r="D39" s="53" t="n">
        <f aca="false">(Mietertrag_Total_Soll*(1+$B39))/(Invest_Total*(1+D$35))</f>
        <v>0.0611733193768421</v>
      </c>
      <c r="E39" s="53" t="n">
        <f aca="false">(Mietertrag_Total_Soll*(1+$B39))/(Invest_Total*(1+E$35))</f>
        <v>0.058114653408</v>
      </c>
      <c r="F39" s="53" t="n">
        <f aca="false">(Mietertrag_Total_Soll*(1+$B39))/(Invest_Total*(1+F$35))</f>
        <v>0.05534728896</v>
      </c>
      <c r="G39" s="53" t="n">
        <f aca="false">(Mietertrag_Total_Soll*(1+$B39))/(Invest_Total*(1+G$35))</f>
        <v>0.0528315030981818</v>
      </c>
    </row>
    <row r="40" customFormat="false" ht="23.25" hidden="false" customHeight="true" outlineLevel="0" collapsed="false">
      <c r="B40" s="52" t="n">
        <v>0.1</v>
      </c>
      <c r="C40" s="53" t="n">
        <f aca="false">(Mietertrag_Total_Soll*(1+$B40))/(Invest_Total*(1+C$35))</f>
        <v>0.0676466865066667</v>
      </c>
      <c r="D40" s="53" t="n">
        <f aca="false">(Mietertrag_Total_Soll*(1+$B40))/(Invest_Total*(1+D$35))</f>
        <v>0.0640863345852632</v>
      </c>
      <c r="E40" s="53" t="n">
        <f aca="false">(Mietertrag_Total_Soll*(1+$B40))/(Invest_Total*(1+E$35))</f>
        <v>0.060882017856</v>
      </c>
      <c r="F40" s="53" t="n">
        <f aca="false">(Mietertrag_Total_Soll*(1+$B40))/(Invest_Total*(1+F$35))</f>
        <v>0.0579828741485714</v>
      </c>
      <c r="G40" s="53" t="n">
        <f aca="false">(Mietertrag_Total_Soll*(1+$B40))/(Invest_Total*(1+G$35))</f>
        <v>0.05534728896</v>
      </c>
    </row>
    <row r="42" customFormat="false" ht="15" hidden="false" customHeight="true" outlineLevel="0" collapsed="false">
      <c r="B42" s="4" t="s">
        <v>111</v>
      </c>
    </row>
    <row r="43" customFormat="false" ht="15" hidden="false" customHeight="true" outlineLevel="0" collapsed="false">
      <c r="B43" s="55" t="s">
        <v>112</v>
      </c>
    </row>
    <row r="44" customFormat="false" ht="15" hidden="false" customHeight="true" outlineLevel="0" collapsed="false">
      <c r="B44" s="55" t="s">
        <v>113</v>
      </c>
    </row>
    <row r="45" customFormat="false" ht="15" hidden="false" customHeight="true" outlineLevel="0" collapsed="false">
      <c r="B45" s="55" t="s">
        <v>114</v>
      </c>
    </row>
  </sheetData>
  <mergeCells count="12">
    <mergeCell ref="B2:K2"/>
    <mergeCell ref="B3:K3"/>
    <mergeCell ref="B5:F5"/>
    <mergeCell ref="D6:F6"/>
    <mergeCell ref="D7:F7"/>
    <mergeCell ref="D8:F8"/>
    <mergeCell ref="D9:F9"/>
    <mergeCell ref="D10:F10"/>
    <mergeCell ref="B13:E13"/>
    <mergeCell ref="B26:E26"/>
    <mergeCell ref="B33:K33"/>
    <mergeCell ref="B34:K34"/>
  </mergeCells>
  <conditionalFormatting sqref="C36:G40">
    <cfRule type="colorScale" priority="2">
      <colorScale>
        <cfvo type="min" val="0"/>
        <cfvo type="percentile" val="50"/>
        <cfvo type="max" val="0"/>
        <color rgb="FFF8CBAD"/>
        <color rgb="FFFFE699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K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28"/>
    <col collapsed="false" customWidth="true" hidden="false" outlineLevel="0" max="12" min="12" style="1" width="3"/>
  </cols>
  <sheetData>
    <row r="2" customFormat="false" ht="21.75" hidden="false" customHeight="true" outlineLevel="0" collapsed="false">
      <c r="B2" s="35" t="s">
        <v>115</v>
      </c>
      <c r="C2" s="35"/>
      <c r="D2" s="35"/>
      <c r="E2" s="35"/>
      <c r="F2" s="35"/>
      <c r="G2" s="35"/>
      <c r="H2" s="35"/>
      <c r="I2" s="35"/>
      <c r="J2" s="35"/>
      <c r="K2" s="35"/>
    </row>
    <row r="3" customFormat="false" ht="15" hidden="false" customHeight="true" outlineLevel="0" collapsed="false">
      <c r="B3" s="36" t="s">
        <v>116</v>
      </c>
      <c r="C3" s="36"/>
      <c r="D3" s="36"/>
      <c r="E3" s="36"/>
      <c r="F3" s="36"/>
      <c r="G3" s="36"/>
      <c r="H3" s="36"/>
      <c r="I3" s="36"/>
      <c r="J3" s="36"/>
      <c r="K3" s="36"/>
    </row>
    <row r="5" customFormat="false" ht="17.25" hidden="false" customHeight="true" outlineLevel="0" collapsed="false">
      <c r="B5" s="24" t="s">
        <v>117</v>
      </c>
      <c r="C5" s="24"/>
      <c r="D5" s="24"/>
      <c r="E5" s="24"/>
      <c r="F5" s="24"/>
      <c r="G5" s="24"/>
      <c r="H5" s="24"/>
      <c r="I5" s="24"/>
      <c r="J5" s="24"/>
      <c r="K5" s="24"/>
    </row>
    <row r="6" customFormat="false" ht="15" hidden="false" customHeight="true" outlineLevel="0" collapsed="false">
      <c r="B6" s="25" t="s">
        <v>118</v>
      </c>
      <c r="C6" s="25"/>
      <c r="D6" s="25" t="s">
        <v>119</v>
      </c>
      <c r="E6" s="25" t="s">
        <v>69</v>
      </c>
      <c r="F6" s="25" t="s">
        <v>70</v>
      </c>
      <c r="G6" s="25" t="s">
        <v>71</v>
      </c>
      <c r="H6" s="25" t="s">
        <v>120</v>
      </c>
      <c r="I6" s="25"/>
      <c r="J6" s="25"/>
      <c r="K6" s="25"/>
    </row>
    <row r="7" customFormat="false" ht="15" hidden="false" customHeight="true" outlineLevel="0" collapsed="false">
      <c r="B7" s="11" t="s">
        <v>121</v>
      </c>
      <c r="C7" s="11"/>
      <c r="D7" s="56" t="s">
        <v>122</v>
      </c>
      <c r="E7" s="57" t="n">
        <v>180</v>
      </c>
      <c r="F7" s="57" t="n">
        <v>180</v>
      </c>
      <c r="G7" s="57" t="n">
        <v>168</v>
      </c>
      <c r="H7" s="39" t="s">
        <v>123</v>
      </c>
      <c r="I7" s="39"/>
      <c r="J7" s="39"/>
      <c r="K7" s="39"/>
    </row>
    <row r="8" customFormat="false" ht="15" hidden="false" customHeight="true" outlineLevel="0" collapsed="false">
      <c r="B8" s="11" t="s">
        <v>124</v>
      </c>
      <c r="C8" s="11"/>
      <c r="D8" s="56" t="s">
        <v>122</v>
      </c>
      <c r="E8" s="57" t="n">
        <v>180</v>
      </c>
      <c r="F8" s="57" t="n">
        <v>180</v>
      </c>
      <c r="G8" s="57" t="n">
        <v>168</v>
      </c>
      <c r="H8" s="39" t="s">
        <v>125</v>
      </c>
      <c r="I8" s="39"/>
      <c r="J8" s="39"/>
      <c r="K8" s="39"/>
    </row>
    <row r="9" customFormat="false" ht="15" hidden="false" customHeight="true" outlineLevel="0" collapsed="false">
      <c r="B9" s="11" t="s">
        <v>126</v>
      </c>
      <c r="C9" s="11"/>
      <c r="D9" s="56" t="s">
        <v>122</v>
      </c>
      <c r="E9" s="57" t="n">
        <v>174</v>
      </c>
      <c r="F9" s="57" t="n">
        <v>174</v>
      </c>
      <c r="G9" s="57" t="n">
        <v>168</v>
      </c>
      <c r="H9" s="39" t="s">
        <v>127</v>
      </c>
      <c r="I9" s="39"/>
      <c r="J9" s="39"/>
      <c r="K9" s="39"/>
    </row>
    <row r="10" customFormat="false" ht="15" hidden="false" customHeight="true" outlineLevel="0" collapsed="false">
      <c r="B10" s="11" t="s">
        <v>128</v>
      </c>
      <c r="C10" s="11"/>
      <c r="D10" s="56" t="s">
        <v>122</v>
      </c>
      <c r="E10" s="57" t="n">
        <v>168</v>
      </c>
      <c r="F10" s="57" t="n">
        <v>168</v>
      </c>
      <c r="G10" s="57" t="n">
        <v>168</v>
      </c>
      <c r="H10" s="39" t="s">
        <v>129</v>
      </c>
      <c r="I10" s="39"/>
      <c r="J10" s="39"/>
      <c r="K10" s="39"/>
    </row>
    <row r="11" customFormat="false" ht="15" hidden="false" customHeight="true" outlineLevel="0" collapsed="false">
      <c r="B11" s="11" t="s">
        <v>130</v>
      </c>
      <c r="C11" s="11"/>
      <c r="D11" s="56" t="s">
        <v>122</v>
      </c>
      <c r="E11" s="57" t="n">
        <v>210</v>
      </c>
      <c r="F11" s="57" t="n">
        <v>210</v>
      </c>
      <c r="G11" s="57" t="n">
        <v>210</v>
      </c>
      <c r="H11" s="39" t="s">
        <v>131</v>
      </c>
      <c r="I11" s="39"/>
      <c r="J11" s="39"/>
      <c r="K11" s="39"/>
    </row>
    <row r="12" customFormat="false" ht="15" hidden="false" customHeight="true" outlineLevel="0" collapsed="false">
      <c r="B12" s="11" t="s">
        <v>132</v>
      </c>
      <c r="C12" s="11"/>
      <c r="D12" s="56" t="s">
        <v>122</v>
      </c>
      <c r="E12" s="57" t="n">
        <v>204</v>
      </c>
      <c r="F12" s="57" t="n">
        <v>204</v>
      </c>
      <c r="G12" s="57" t="n">
        <v>204</v>
      </c>
      <c r="H12" s="39" t="s">
        <v>133</v>
      </c>
      <c r="I12" s="39"/>
      <c r="J12" s="39"/>
      <c r="K12" s="39"/>
    </row>
    <row r="13" customFormat="false" ht="15" hidden="false" customHeight="true" outlineLevel="0" collapsed="false">
      <c r="B13" s="11" t="s">
        <v>134</v>
      </c>
      <c r="C13" s="11"/>
      <c r="D13" s="56" t="s">
        <v>122</v>
      </c>
      <c r="E13" s="57" t="n">
        <v>204</v>
      </c>
      <c r="F13" s="57" t="n">
        <v>204</v>
      </c>
      <c r="G13" s="57" t="n">
        <v>204</v>
      </c>
      <c r="H13" s="39" t="s">
        <v>133</v>
      </c>
      <c r="I13" s="39"/>
      <c r="J13" s="39"/>
      <c r="K13" s="39"/>
    </row>
    <row r="14" customFormat="false" ht="15" hidden="false" customHeight="true" outlineLevel="0" collapsed="false">
      <c r="B14" s="11" t="s">
        <v>135</v>
      </c>
      <c r="C14" s="11"/>
      <c r="D14" s="56" t="s">
        <v>122</v>
      </c>
      <c r="E14" s="57" t="n">
        <v>204</v>
      </c>
      <c r="F14" s="57" t="n">
        <v>204</v>
      </c>
      <c r="G14" s="57" t="n">
        <v>204</v>
      </c>
      <c r="H14" s="39" t="s">
        <v>133</v>
      </c>
      <c r="I14" s="39"/>
      <c r="J14" s="39"/>
      <c r="K14" s="39"/>
    </row>
    <row r="15" customFormat="false" ht="15" hidden="false" customHeight="true" outlineLevel="0" collapsed="false">
      <c r="B15" s="11" t="s">
        <v>136</v>
      </c>
      <c r="C15" s="11"/>
      <c r="D15" s="56" t="s">
        <v>122</v>
      </c>
      <c r="E15" s="57" t="n">
        <v>0</v>
      </c>
      <c r="F15" s="57" t="n">
        <v>0</v>
      </c>
      <c r="G15" s="57" t="n">
        <v>180</v>
      </c>
      <c r="H15" s="39" t="s">
        <v>137</v>
      </c>
      <c r="I15" s="39"/>
      <c r="J15" s="39"/>
      <c r="K15" s="39"/>
    </row>
    <row r="16" customFormat="false" ht="15" hidden="false" customHeight="true" outlineLevel="0" collapsed="false">
      <c r="B16" s="11" t="s">
        <v>138</v>
      </c>
      <c r="C16" s="11"/>
      <c r="D16" s="56" t="s">
        <v>122</v>
      </c>
      <c r="E16" s="57" t="n">
        <v>0</v>
      </c>
      <c r="F16" s="57" t="n">
        <v>0</v>
      </c>
      <c r="G16" s="57" t="n">
        <v>180</v>
      </c>
      <c r="H16" s="39" t="s">
        <v>137</v>
      </c>
      <c r="I16" s="39"/>
      <c r="J16" s="39"/>
      <c r="K16" s="39"/>
    </row>
    <row r="17" customFormat="false" ht="15" hidden="false" customHeight="true" outlineLevel="0" collapsed="false">
      <c r="B17" s="11" t="s">
        <v>139</v>
      </c>
      <c r="C17" s="11"/>
      <c r="D17" s="56" t="s">
        <v>122</v>
      </c>
      <c r="E17" s="57" t="n">
        <v>480</v>
      </c>
      <c r="F17" s="57" t="n">
        <v>480</v>
      </c>
      <c r="G17" s="57" t="n">
        <v>480</v>
      </c>
      <c r="H17" s="39" t="s">
        <v>140</v>
      </c>
      <c r="I17" s="39"/>
      <c r="J17" s="39"/>
      <c r="K17" s="39"/>
    </row>
    <row r="18" customFormat="false" ht="15" hidden="false" customHeight="true" outlineLevel="0" collapsed="false">
      <c r="B18" s="11" t="s">
        <v>141</v>
      </c>
      <c r="C18" s="11"/>
      <c r="D18" s="56" t="s">
        <v>122</v>
      </c>
      <c r="E18" s="57" t="n">
        <v>456</v>
      </c>
      <c r="F18" s="57" t="n">
        <v>456</v>
      </c>
      <c r="G18" s="57" t="n">
        <v>456</v>
      </c>
      <c r="H18" s="39" t="s">
        <v>142</v>
      </c>
      <c r="I18" s="39"/>
      <c r="J18" s="39"/>
      <c r="K18" s="39"/>
    </row>
    <row r="19" customFormat="false" ht="15" hidden="false" customHeight="true" outlineLevel="0" collapsed="false">
      <c r="B19" s="11" t="s">
        <v>143</v>
      </c>
      <c r="C19" s="11"/>
      <c r="D19" s="56" t="s">
        <v>122</v>
      </c>
      <c r="E19" s="57" t="n">
        <v>444</v>
      </c>
      <c r="F19" s="57" t="n">
        <v>444</v>
      </c>
      <c r="G19" s="57" t="n">
        <v>444</v>
      </c>
      <c r="H19" s="39" t="s">
        <v>144</v>
      </c>
      <c r="I19" s="39"/>
      <c r="J19" s="39"/>
      <c r="K19" s="39"/>
    </row>
    <row r="20" customFormat="false" ht="15" hidden="false" customHeight="true" outlineLevel="0" collapsed="false">
      <c r="B20" s="11" t="s">
        <v>145</v>
      </c>
      <c r="C20" s="11"/>
      <c r="D20" s="56" t="s">
        <v>122</v>
      </c>
      <c r="E20" s="57" t="n">
        <v>108</v>
      </c>
      <c r="F20" s="57" t="n">
        <v>108</v>
      </c>
      <c r="G20" s="57" t="n">
        <v>108</v>
      </c>
      <c r="H20" s="39" t="s">
        <v>146</v>
      </c>
      <c r="I20" s="39"/>
      <c r="J20" s="39"/>
      <c r="K20" s="39"/>
    </row>
    <row r="21" customFormat="false" ht="15" hidden="false" customHeight="true" outlineLevel="0" collapsed="false">
      <c r="B21" s="11" t="s">
        <v>147</v>
      </c>
      <c r="C21" s="11"/>
      <c r="D21" s="56" t="s">
        <v>122</v>
      </c>
      <c r="E21" s="57" t="n">
        <v>108</v>
      </c>
      <c r="F21" s="57" t="n">
        <v>108</v>
      </c>
      <c r="G21" s="57" t="n">
        <v>108</v>
      </c>
      <c r="H21" s="39" t="s">
        <v>146</v>
      </c>
      <c r="I21" s="39"/>
      <c r="J21" s="39"/>
      <c r="K21" s="39"/>
    </row>
    <row r="22" customFormat="false" ht="15" hidden="false" customHeight="true" outlineLevel="0" collapsed="false">
      <c r="B22" s="11" t="s">
        <v>148</v>
      </c>
      <c r="C22" s="11"/>
      <c r="D22" s="56" t="s">
        <v>122</v>
      </c>
      <c r="E22" s="57" t="n">
        <v>108</v>
      </c>
      <c r="F22" s="57" t="n">
        <v>108</v>
      </c>
      <c r="G22" s="57" t="n">
        <v>108</v>
      </c>
      <c r="H22" s="39" t="s">
        <v>146</v>
      </c>
      <c r="I22" s="39"/>
      <c r="J22" s="39"/>
      <c r="K22" s="39"/>
    </row>
    <row r="24" customFormat="false" ht="15" hidden="false" customHeight="true" outlineLevel="0" collapsed="false">
      <c r="B24" s="58" t="s">
        <v>149</v>
      </c>
      <c r="C24" s="58"/>
      <c r="D24" s="58"/>
      <c r="E24" s="59" t="n">
        <v>0.05</v>
      </c>
    </row>
    <row r="26" customFormat="false" ht="17.25" hidden="false" customHeight="true" outlineLevel="0" collapsed="false">
      <c r="B26" s="6" t="s">
        <v>150</v>
      </c>
      <c r="C26" s="6"/>
      <c r="D26" s="6"/>
      <c r="E26" s="6"/>
      <c r="F26" s="6"/>
      <c r="G26" s="6"/>
      <c r="H26" s="6"/>
      <c r="I26" s="6"/>
      <c r="J26" s="6"/>
      <c r="K26" s="6"/>
    </row>
    <row r="27" customFormat="false" ht="15" hidden="false" customHeight="true" outlineLevel="0" collapsed="false">
      <c r="B27" s="25" t="s">
        <v>151</v>
      </c>
      <c r="C27" s="25" t="s">
        <v>118</v>
      </c>
      <c r="D27" s="25" t="s">
        <v>152</v>
      </c>
      <c r="E27" s="25" t="s">
        <v>153</v>
      </c>
      <c r="F27" s="25" t="s">
        <v>154</v>
      </c>
      <c r="G27" s="25" t="s">
        <v>155</v>
      </c>
      <c r="H27" s="25" t="s">
        <v>156</v>
      </c>
      <c r="I27" s="25" t="s">
        <v>157</v>
      </c>
      <c r="J27" s="25" t="s">
        <v>158</v>
      </c>
      <c r="K27" s="25" t="s">
        <v>120</v>
      </c>
    </row>
    <row r="28" customFormat="false" ht="15" hidden="false" customHeight="true" outlineLevel="0" collapsed="false">
      <c r="B28" s="60" t="s">
        <v>159</v>
      </c>
      <c r="C28" s="5" t="s">
        <v>160</v>
      </c>
      <c r="D28" s="61" t="n">
        <v>1</v>
      </c>
      <c r="E28" s="62" t="n">
        <v>113.4</v>
      </c>
      <c r="F28" s="62" t="n">
        <f aca="false">D28*E28</f>
        <v>113.4</v>
      </c>
      <c r="G28" s="63" t="n">
        <f aca="false">E7</f>
        <v>180</v>
      </c>
      <c r="H28" s="43" t="n">
        <f aca="false">F28*G28</f>
        <v>20412</v>
      </c>
      <c r="I28" s="43" t="n">
        <f aca="false">H28/12</f>
        <v>1701</v>
      </c>
      <c r="J28" s="64" t="n">
        <f aca="false">IFERROR(H28/$H$44,0)</f>
        <v>0.0299635100464073</v>
      </c>
      <c r="K28" s="55"/>
    </row>
    <row r="29" customFormat="false" ht="15" hidden="false" customHeight="true" outlineLevel="0" collapsed="false">
      <c r="B29" s="60" t="s">
        <v>159</v>
      </c>
      <c r="C29" s="5" t="s">
        <v>161</v>
      </c>
      <c r="D29" s="61" t="n">
        <v>1</v>
      </c>
      <c r="E29" s="62" t="n">
        <v>171.22</v>
      </c>
      <c r="F29" s="62" t="n">
        <f aca="false">D29*E29</f>
        <v>171.22</v>
      </c>
      <c r="G29" s="63" t="n">
        <f aca="false">E8</f>
        <v>180</v>
      </c>
      <c r="H29" s="43" t="n">
        <f aca="false">F29*G29</f>
        <v>30819.6</v>
      </c>
      <c r="I29" s="43" t="n">
        <f aca="false">H29/12</f>
        <v>2568.3</v>
      </c>
      <c r="J29" s="64" t="n">
        <f aca="false">IFERROR(H29/$H$44,0)</f>
        <v>0.0452412009713039</v>
      </c>
      <c r="K29" s="55"/>
    </row>
    <row r="30" customFormat="false" ht="15" hidden="false" customHeight="true" outlineLevel="0" collapsed="false">
      <c r="B30" s="60" t="s">
        <v>159</v>
      </c>
      <c r="C30" s="5" t="s">
        <v>162</v>
      </c>
      <c r="D30" s="61" t="n">
        <v>1</v>
      </c>
      <c r="E30" s="62" t="n">
        <v>228.62</v>
      </c>
      <c r="F30" s="62" t="n">
        <f aca="false">D30*E30</f>
        <v>228.62</v>
      </c>
      <c r="G30" s="63" t="n">
        <f aca="false">E9</f>
        <v>174</v>
      </c>
      <c r="H30" s="43" t="n">
        <f aca="false">F30*G30</f>
        <v>39779.88</v>
      </c>
      <c r="I30" s="43" t="n">
        <f aca="false">H30/12</f>
        <v>3314.99</v>
      </c>
      <c r="J30" s="64" t="n">
        <f aca="false">IFERROR(H30/$H$44,0)</f>
        <v>0.0583943187352968</v>
      </c>
      <c r="K30" s="55"/>
    </row>
    <row r="31" customFormat="false" ht="15" hidden="false" customHeight="true" outlineLevel="0" collapsed="false">
      <c r="B31" s="60" t="s">
        <v>159</v>
      </c>
      <c r="C31" s="5" t="s">
        <v>163</v>
      </c>
      <c r="D31" s="61" t="n">
        <v>1</v>
      </c>
      <c r="E31" s="62" t="n">
        <v>518.86</v>
      </c>
      <c r="F31" s="62" t="n">
        <f aca="false">D31*E31</f>
        <v>518.86</v>
      </c>
      <c r="G31" s="63" t="n">
        <f aca="false">E10</f>
        <v>168</v>
      </c>
      <c r="H31" s="43" t="n">
        <f aca="false">F31*G31</f>
        <v>87168.48</v>
      </c>
      <c r="I31" s="43" t="n">
        <f aca="false">H31/12</f>
        <v>7264.04</v>
      </c>
      <c r="J31" s="64" t="n">
        <f aca="false">IFERROR(H31/$H$44,0)</f>
        <v>0.127957751626987</v>
      </c>
      <c r="K31" s="55"/>
    </row>
    <row r="32" customFormat="false" ht="15" hidden="false" customHeight="true" outlineLevel="0" collapsed="false">
      <c r="B32" s="60" t="s">
        <v>164</v>
      </c>
      <c r="C32" s="5" t="s">
        <v>165</v>
      </c>
      <c r="D32" s="61" t="n">
        <v>4</v>
      </c>
      <c r="E32" s="62" t="n">
        <v>27.08</v>
      </c>
      <c r="F32" s="62" t="n">
        <f aca="false">D32*E32</f>
        <v>108.32</v>
      </c>
      <c r="G32" s="63" t="n">
        <f aca="false">E11</f>
        <v>210</v>
      </c>
      <c r="H32" s="43" t="n">
        <f aca="false">F32*G32</f>
        <v>22747.2</v>
      </c>
      <c r="I32" s="43" t="n">
        <f aca="false">H32/12</f>
        <v>1895.6</v>
      </c>
      <c r="J32" s="64" t="n">
        <f aca="false">IFERROR(H32/$H$44,0)</f>
        <v>0.0333914342410169</v>
      </c>
      <c r="K32" s="55"/>
    </row>
    <row r="33" customFormat="false" ht="15" hidden="false" customHeight="true" outlineLevel="0" collapsed="false">
      <c r="B33" s="60" t="s">
        <v>164</v>
      </c>
      <c r="C33" s="5" t="s">
        <v>166</v>
      </c>
      <c r="D33" s="61" t="n">
        <v>4</v>
      </c>
      <c r="E33" s="62" t="n">
        <v>39.73</v>
      </c>
      <c r="F33" s="62" t="n">
        <f aca="false">D33*E33</f>
        <v>158.92</v>
      </c>
      <c r="G33" s="63" t="n">
        <f aca="false">E12</f>
        <v>204</v>
      </c>
      <c r="H33" s="43" t="n">
        <f aca="false">F33*G33</f>
        <v>32419.68</v>
      </c>
      <c r="I33" s="43" t="n">
        <f aca="false">H33/12</f>
        <v>2701.64</v>
      </c>
      <c r="J33" s="64" t="n">
        <f aca="false">IFERROR(H33/$H$44,0)</f>
        <v>0.047590016038669</v>
      </c>
      <c r="K33" s="55"/>
    </row>
    <row r="34" customFormat="false" ht="15" hidden="false" customHeight="true" outlineLevel="0" collapsed="false">
      <c r="B34" s="60" t="s">
        <v>164</v>
      </c>
      <c r="C34" s="5" t="s">
        <v>167</v>
      </c>
      <c r="D34" s="61" t="n">
        <v>4</v>
      </c>
      <c r="E34" s="62" t="n">
        <v>42.03</v>
      </c>
      <c r="F34" s="62" t="n">
        <f aca="false">D34*E34</f>
        <v>168.12</v>
      </c>
      <c r="G34" s="63" t="n">
        <f aca="false">E13</f>
        <v>204</v>
      </c>
      <c r="H34" s="43" t="n">
        <f aca="false">F34*G34</f>
        <v>34296.48</v>
      </c>
      <c r="I34" s="43" t="n">
        <f aca="false">H34/12</f>
        <v>2858.04</v>
      </c>
      <c r="J34" s="64" t="n">
        <f aca="false">IFERROR(H34/$H$44,0)</f>
        <v>0.050345038361572</v>
      </c>
      <c r="K34" s="55"/>
    </row>
    <row r="35" customFormat="false" ht="15" hidden="false" customHeight="true" outlineLevel="0" collapsed="false">
      <c r="B35" s="60" t="s">
        <v>164</v>
      </c>
      <c r="C35" s="5" t="s">
        <v>168</v>
      </c>
      <c r="D35" s="61" t="n">
        <v>4</v>
      </c>
      <c r="E35" s="62" t="n">
        <v>42.59</v>
      </c>
      <c r="F35" s="62" t="n">
        <f aca="false">D35*E35</f>
        <v>170.36</v>
      </c>
      <c r="G35" s="63" t="n">
        <f aca="false">E14</f>
        <v>204</v>
      </c>
      <c r="H35" s="43" t="n">
        <f aca="false">F35*G35</f>
        <v>34753.44</v>
      </c>
      <c r="I35" s="43" t="n">
        <f aca="false">H35/12</f>
        <v>2896.12</v>
      </c>
      <c r="J35" s="64" t="n">
        <f aca="false">IFERROR(H35/$H$44,0)</f>
        <v>0.0510158264054093</v>
      </c>
      <c r="K35" s="55"/>
    </row>
    <row r="36" customFormat="false" ht="15" hidden="false" customHeight="true" outlineLevel="0" collapsed="false">
      <c r="B36" s="60" t="s">
        <v>164</v>
      </c>
      <c r="C36" s="5" t="s">
        <v>169</v>
      </c>
      <c r="D36" s="61" t="n">
        <v>0</v>
      </c>
      <c r="E36" s="62" t="n">
        <v>0</v>
      </c>
      <c r="F36" s="62" t="n">
        <f aca="false">D36*E36</f>
        <v>0</v>
      </c>
      <c r="G36" s="63" t="n">
        <f aca="false">E15</f>
        <v>0</v>
      </c>
      <c r="H36" s="43" t="n">
        <f aca="false">F36*G36</f>
        <v>0</v>
      </c>
      <c r="I36" s="43" t="n">
        <f aca="false">H36/12</f>
        <v>0</v>
      </c>
      <c r="J36" s="64" t="n">
        <f aca="false">IFERROR(H36/$H$44,0)</f>
        <v>0</v>
      </c>
      <c r="K36" s="55"/>
    </row>
    <row r="37" customFormat="false" ht="15" hidden="false" customHeight="true" outlineLevel="0" collapsed="false">
      <c r="B37" s="60" t="s">
        <v>164</v>
      </c>
      <c r="C37" s="5" t="s">
        <v>170</v>
      </c>
      <c r="D37" s="61" t="n">
        <v>0</v>
      </c>
      <c r="E37" s="62" t="n">
        <v>0</v>
      </c>
      <c r="F37" s="62" t="n">
        <f aca="false">D37*E37</f>
        <v>0</v>
      </c>
      <c r="G37" s="63" t="n">
        <f aca="false">E16</f>
        <v>0</v>
      </c>
      <c r="H37" s="43" t="n">
        <f aca="false">F37*G37</f>
        <v>0</v>
      </c>
      <c r="I37" s="43" t="n">
        <f aca="false">H37/12</f>
        <v>0</v>
      </c>
      <c r="J37" s="64" t="n">
        <f aca="false">IFERROR(H37/$H$44,0)</f>
        <v>0</v>
      </c>
      <c r="K37" s="55"/>
    </row>
    <row r="38" customFormat="false" ht="15" hidden="false" customHeight="true" outlineLevel="0" collapsed="false">
      <c r="B38" s="60" t="s">
        <v>171</v>
      </c>
      <c r="C38" s="5" t="s">
        <v>172</v>
      </c>
      <c r="D38" s="61" t="n">
        <v>12</v>
      </c>
      <c r="E38" s="62" t="n">
        <v>25.38</v>
      </c>
      <c r="F38" s="62" t="n">
        <f aca="false">D38*E38</f>
        <v>304.56</v>
      </c>
      <c r="G38" s="63" t="n">
        <f aca="false">E17</f>
        <v>480</v>
      </c>
      <c r="H38" s="43" t="n">
        <f aca="false">F38*G38</f>
        <v>146188.8</v>
      </c>
      <c r="I38" s="43" t="n">
        <f aca="false">H38/12</f>
        <v>12182.4</v>
      </c>
      <c r="J38" s="64" t="n">
        <f aca="false">IFERROR(H38/$H$44,0)</f>
        <v>0.214595805284746</v>
      </c>
      <c r="K38" s="55"/>
    </row>
    <row r="39" customFormat="false" ht="15" hidden="false" customHeight="true" outlineLevel="0" collapsed="false">
      <c r="B39" s="60" t="s">
        <v>171</v>
      </c>
      <c r="C39" s="5" t="s">
        <v>173</v>
      </c>
      <c r="D39" s="61" t="n">
        <v>4</v>
      </c>
      <c r="E39" s="62" t="n">
        <v>38.03</v>
      </c>
      <c r="F39" s="62" t="n">
        <f aca="false">D39*E39</f>
        <v>152.12</v>
      </c>
      <c r="G39" s="63" t="n">
        <f aca="false">E18</f>
        <v>456</v>
      </c>
      <c r="H39" s="43" t="n">
        <f aca="false">F39*G39</f>
        <v>69366.72</v>
      </c>
      <c r="I39" s="43" t="n">
        <f aca="false">H39/12</f>
        <v>5780.56</v>
      </c>
      <c r="J39" s="64" t="n">
        <f aca="false">IFERROR(H39/$H$44,0)</f>
        <v>0.101825906898213</v>
      </c>
      <c r="K39" s="55"/>
    </row>
    <row r="40" customFormat="false" ht="15" hidden="false" customHeight="true" outlineLevel="0" collapsed="false">
      <c r="B40" s="60" t="s">
        <v>171</v>
      </c>
      <c r="C40" s="5" t="s">
        <v>174</v>
      </c>
      <c r="D40" s="61" t="n">
        <v>4</v>
      </c>
      <c r="E40" s="62" t="n">
        <v>53.05</v>
      </c>
      <c r="F40" s="62" t="n">
        <f aca="false">D40*E40</f>
        <v>212.2</v>
      </c>
      <c r="G40" s="63" t="n">
        <f aca="false">E19</f>
        <v>444</v>
      </c>
      <c r="H40" s="43" t="n">
        <f aca="false">F40*G40</f>
        <v>94216.8</v>
      </c>
      <c r="I40" s="43" t="n">
        <f aca="false">H40/12</f>
        <v>7851.4</v>
      </c>
      <c r="J40" s="64" t="n">
        <f aca="false">IFERROR(H40/$H$44,0)</f>
        <v>0.138304234437603</v>
      </c>
      <c r="K40" s="55"/>
    </row>
    <row r="41" customFormat="false" ht="15" hidden="false" customHeight="true" outlineLevel="0" collapsed="false">
      <c r="B41" s="60" t="s">
        <v>175</v>
      </c>
      <c r="C41" s="5" t="s">
        <v>176</v>
      </c>
      <c r="D41" s="61" t="n">
        <v>4</v>
      </c>
      <c r="E41" s="62" t="n">
        <v>61.14</v>
      </c>
      <c r="F41" s="62" t="n">
        <f aca="false">D41*E41</f>
        <v>244.56</v>
      </c>
      <c r="G41" s="63" t="n">
        <f aca="false">E20</f>
        <v>108</v>
      </c>
      <c r="H41" s="43" t="n">
        <f aca="false">F41*G41</f>
        <v>26412.48</v>
      </c>
      <c r="I41" s="43" t="n">
        <f aca="false">H41/12</f>
        <v>2201.04</v>
      </c>
      <c r="J41" s="64" t="n">
        <f aca="false">IFERROR(H41/$H$44,0)</f>
        <v>0.0387718307775099</v>
      </c>
      <c r="K41" s="55"/>
    </row>
    <row r="42" customFormat="false" ht="15" hidden="false" customHeight="true" outlineLevel="0" collapsed="false">
      <c r="B42" s="60" t="s">
        <v>175</v>
      </c>
      <c r="C42" s="5" t="s">
        <v>177</v>
      </c>
      <c r="D42" s="61" t="n">
        <v>2</v>
      </c>
      <c r="E42" s="62" t="n">
        <v>61.24</v>
      </c>
      <c r="F42" s="62" t="n">
        <f aca="false">D42*E42</f>
        <v>122.48</v>
      </c>
      <c r="G42" s="63" t="n">
        <f aca="false">E21</f>
        <v>108</v>
      </c>
      <c r="H42" s="43" t="n">
        <f aca="false">F42*G42</f>
        <v>13227.84</v>
      </c>
      <c r="I42" s="43" t="n">
        <f aca="false">H42/12</f>
        <v>1102.32</v>
      </c>
      <c r="J42" s="64" t="n">
        <f aca="false">IFERROR(H42/$H$44,0)</f>
        <v>0.0194176228067935</v>
      </c>
      <c r="K42" s="55"/>
    </row>
    <row r="43" customFormat="false" ht="15" hidden="false" customHeight="true" outlineLevel="0" collapsed="false">
      <c r="B43" s="60" t="s">
        <v>175</v>
      </c>
      <c r="C43" s="5" t="s">
        <v>178</v>
      </c>
      <c r="D43" s="61" t="n">
        <v>4</v>
      </c>
      <c r="E43" s="62" t="n">
        <v>68.1</v>
      </c>
      <c r="F43" s="62" t="n">
        <f aca="false">D43*E43</f>
        <v>272.4</v>
      </c>
      <c r="G43" s="63" t="n">
        <f aca="false">E22</f>
        <v>108</v>
      </c>
      <c r="H43" s="43" t="n">
        <f aca="false">F43*G43</f>
        <v>29419.2</v>
      </c>
      <c r="I43" s="43" t="n">
        <f aca="false">H43/12</f>
        <v>2451.6</v>
      </c>
      <c r="J43" s="64" t="n">
        <f aca="false">IFERROR(H43/$H$44,0)</f>
        <v>0.0431855033684728</v>
      </c>
      <c r="K43" s="55"/>
    </row>
    <row r="44" customFormat="false" ht="15" hidden="false" customHeight="true" outlineLevel="0" collapsed="false">
      <c r="B44" s="65" t="s">
        <v>179</v>
      </c>
      <c r="C44" s="65"/>
      <c r="D44" s="65"/>
      <c r="E44" s="65"/>
      <c r="F44" s="66" t="n">
        <f aca="false">SUM(F28:F43)</f>
        <v>2946.14</v>
      </c>
      <c r="G44" s="67"/>
      <c r="H44" s="68" t="n">
        <f aca="false">SUM(H28:H43)</f>
        <v>681228.6</v>
      </c>
      <c r="I44" s="68" t="n">
        <f aca="false">H44/12</f>
        <v>56769.05</v>
      </c>
      <c r="J44" s="67"/>
      <c r="K44" s="67"/>
    </row>
    <row r="45" customFormat="false" ht="15" hidden="false" customHeight="true" outlineLevel="0" collapsed="false">
      <c r="B45" s="69" t="s">
        <v>180</v>
      </c>
      <c r="C45" s="69"/>
      <c r="D45" s="69"/>
      <c r="E45" s="69"/>
      <c r="F45" s="69"/>
      <c r="G45" s="69"/>
      <c r="H45" s="45" t="n">
        <f aca="false">H44*(1-Leerstand)</f>
        <v>647167.17</v>
      </c>
      <c r="I45" s="45" t="n">
        <f aca="false">H45/12</f>
        <v>53930.5975</v>
      </c>
    </row>
    <row r="48" customFormat="false" ht="17.25" hidden="false" customHeight="true" outlineLevel="0" collapsed="false">
      <c r="B48" s="6" t="s">
        <v>181</v>
      </c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5" hidden="false" customHeight="true" outlineLevel="0" collapsed="false">
      <c r="B49" s="25" t="s">
        <v>151</v>
      </c>
      <c r="C49" s="25" t="s">
        <v>118</v>
      </c>
      <c r="D49" s="25" t="s">
        <v>152</v>
      </c>
      <c r="E49" s="25" t="s">
        <v>153</v>
      </c>
      <c r="F49" s="25" t="s">
        <v>154</v>
      </c>
      <c r="G49" s="25" t="s">
        <v>155</v>
      </c>
      <c r="H49" s="25" t="s">
        <v>156</v>
      </c>
      <c r="I49" s="25" t="s">
        <v>157</v>
      </c>
      <c r="J49" s="25" t="s">
        <v>158</v>
      </c>
      <c r="K49" s="25" t="s">
        <v>120</v>
      </c>
    </row>
    <row r="50" customFormat="false" ht="15" hidden="false" customHeight="true" outlineLevel="0" collapsed="false">
      <c r="B50" s="60" t="s">
        <v>159</v>
      </c>
      <c r="C50" s="5" t="s">
        <v>160</v>
      </c>
      <c r="D50" s="61" t="n">
        <v>1</v>
      </c>
      <c r="E50" s="62" t="n">
        <v>113.4</v>
      </c>
      <c r="F50" s="62" t="n">
        <f aca="false">D50*E50</f>
        <v>113.4</v>
      </c>
      <c r="G50" s="63" t="n">
        <f aca="false">F7</f>
        <v>180</v>
      </c>
      <c r="H50" s="43" t="n">
        <f aca="false">F50*G50</f>
        <v>20412</v>
      </c>
      <c r="I50" s="43" t="n">
        <f aca="false">H50/12</f>
        <v>1701</v>
      </c>
      <c r="J50" s="64" t="n">
        <f aca="false">IFERROR(H50/$H$66,0)</f>
        <v>0.0299635100464073</v>
      </c>
      <c r="K50" s="55"/>
    </row>
    <row r="51" customFormat="false" ht="15" hidden="false" customHeight="true" outlineLevel="0" collapsed="false">
      <c r="B51" s="60" t="s">
        <v>159</v>
      </c>
      <c r="C51" s="5" t="s">
        <v>161</v>
      </c>
      <c r="D51" s="61" t="n">
        <v>1</v>
      </c>
      <c r="E51" s="62" t="n">
        <v>171.22</v>
      </c>
      <c r="F51" s="62" t="n">
        <f aca="false">D51*E51</f>
        <v>171.22</v>
      </c>
      <c r="G51" s="63" t="n">
        <f aca="false">F8</f>
        <v>180</v>
      </c>
      <c r="H51" s="43" t="n">
        <f aca="false">F51*G51</f>
        <v>30819.6</v>
      </c>
      <c r="I51" s="43" t="n">
        <f aca="false">H51/12</f>
        <v>2568.3</v>
      </c>
      <c r="J51" s="64" t="n">
        <f aca="false">IFERROR(H51/$H$66,0)</f>
        <v>0.0452412009713039</v>
      </c>
      <c r="K51" s="55"/>
    </row>
    <row r="52" customFormat="false" ht="15" hidden="false" customHeight="true" outlineLevel="0" collapsed="false">
      <c r="B52" s="60" t="s">
        <v>159</v>
      </c>
      <c r="C52" s="5" t="s">
        <v>162</v>
      </c>
      <c r="D52" s="61" t="n">
        <v>1</v>
      </c>
      <c r="E52" s="62" t="n">
        <v>228.62</v>
      </c>
      <c r="F52" s="62" t="n">
        <f aca="false">D52*E52</f>
        <v>228.62</v>
      </c>
      <c r="G52" s="63" t="n">
        <f aca="false">F9</f>
        <v>174</v>
      </c>
      <c r="H52" s="43" t="n">
        <f aca="false">F52*G52</f>
        <v>39779.88</v>
      </c>
      <c r="I52" s="43" t="n">
        <f aca="false">H52/12</f>
        <v>3314.99</v>
      </c>
      <c r="J52" s="64" t="n">
        <f aca="false">IFERROR(H52/$H$66,0)</f>
        <v>0.0583943187352968</v>
      </c>
      <c r="K52" s="55"/>
    </row>
    <row r="53" customFormat="false" ht="15" hidden="false" customHeight="true" outlineLevel="0" collapsed="false">
      <c r="B53" s="60" t="s">
        <v>159</v>
      </c>
      <c r="C53" s="5" t="s">
        <v>163</v>
      </c>
      <c r="D53" s="61" t="n">
        <v>1</v>
      </c>
      <c r="E53" s="62" t="n">
        <v>518.86</v>
      </c>
      <c r="F53" s="62" t="n">
        <f aca="false">D53*E53</f>
        <v>518.86</v>
      </c>
      <c r="G53" s="63" t="n">
        <f aca="false">F10</f>
        <v>168</v>
      </c>
      <c r="H53" s="43" t="n">
        <f aca="false">F53*G53</f>
        <v>87168.48</v>
      </c>
      <c r="I53" s="43" t="n">
        <f aca="false">H53/12</f>
        <v>7264.04</v>
      </c>
      <c r="J53" s="64" t="n">
        <f aca="false">IFERROR(H53/$H$66,0)</f>
        <v>0.127957751626987</v>
      </c>
      <c r="K53" s="55"/>
    </row>
    <row r="54" customFormat="false" ht="15" hidden="false" customHeight="true" outlineLevel="0" collapsed="false">
      <c r="B54" s="60" t="s">
        <v>164</v>
      </c>
      <c r="C54" s="5" t="s">
        <v>165</v>
      </c>
      <c r="D54" s="61" t="n">
        <v>4</v>
      </c>
      <c r="E54" s="62" t="n">
        <v>27.08</v>
      </c>
      <c r="F54" s="62" t="n">
        <f aca="false">D54*E54</f>
        <v>108.32</v>
      </c>
      <c r="G54" s="63" t="n">
        <f aca="false">F11</f>
        <v>210</v>
      </c>
      <c r="H54" s="43" t="n">
        <f aca="false">F54*G54</f>
        <v>22747.2</v>
      </c>
      <c r="I54" s="43" t="n">
        <f aca="false">H54/12</f>
        <v>1895.6</v>
      </c>
      <c r="J54" s="64" t="n">
        <f aca="false">IFERROR(H54/$H$66,0)</f>
        <v>0.0333914342410169</v>
      </c>
      <c r="K54" s="55"/>
    </row>
    <row r="55" customFormat="false" ht="15" hidden="false" customHeight="true" outlineLevel="0" collapsed="false">
      <c r="B55" s="60" t="s">
        <v>164</v>
      </c>
      <c r="C55" s="5" t="s">
        <v>166</v>
      </c>
      <c r="D55" s="61" t="n">
        <v>4</v>
      </c>
      <c r="E55" s="62" t="n">
        <v>39.73</v>
      </c>
      <c r="F55" s="62" t="n">
        <f aca="false">D55*E55</f>
        <v>158.92</v>
      </c>
      <c r="G55" s="63" t="n">
        <f aca="false">F12</f>
        <v>204</v>
      </c>
      <c r="H55" s="43" t="n">
        <f aca="false">F55*G55</f>
        <v>32419.68</v>
      </c>
      <c r="I55" s="43" t="n">
        <f aca="false">H55/12</f>
        <v>2701.64</v>
      </c>
      <c r="J55" s="64" t="n">
        <f aca="false">IFERROR(H55/$H$66,0)</f>
        <v>0.047590016038669</v>
      </c>
      <c r="K55" s="55"/>
    </row>
    <row r="56" customFormat="false" ht="15" hidden="false" customHeight="true" outlineLevel="0" collapsed="false">
      <c r="B56" s="60" t="s">
        <v>164</v>
      </c>
      <c r="C56" s="5" t="s">
        <v>167</v>
      </c>
      <c r="D56" s="61" t="n">
        <v>4</v>
      </c>
      <c r="E56" s="62" t="n">
        <v>42.03</v>
      </c>
      <c r="F56" s="62" t="n">
        <f aca="false">D56*E56</f>
        <v>168.12</v>
      </c>
      <c r="G56" s="63" t="n">
        <f aca="false">F13</f>
        <v>204</v>
      </c>
      <c r="H56" s="43" t="n">
        <f aca="false">F56*G56</f>
        <v>34296.48</v>
      </c>
      <c r="I56" s="43" t="n">
        <f aca="false">H56/12</f>
        <v>2858.04</v>
      </c>
      <c r="J56" s="64" t="n">
        <f aca="false">IFERROR(H56/$H$66,0)</f>
        <v>0.050345038361572</v>
      </c>
      <c r="K56" s="55"/>
    </row>
    <row r="57" customFormat="false" ht="15" hidden="false" customHeight="true" outlineLevel="0" collapsed="false">
      <c r="B57" s="60" t="s">
        <v>164</v>
      </c>
      <c r="C57" s="5" t="s">
        <v>168</v>
      </c>
      <c r="D57" s="61" t="n">
        <v>4</v>
      </c>
      <c r="E57" s="62" t="n">
        <v>42.59</v>
      </c>
      <c r="F57" s="62" t="n">
        <f aca="false">D57*E57</f>
        <v>170.36</v>
      </c>
      <c r="G57" s="63" t="n">
        <f aca="false">F14</f>
        <v>204</v>
      </c>
      <c r="H57" s="43" t="n">
        <f aca="false">F57*G57</f>
        <v>34753.44</v>
      </c>
      <c r="I57" s="43" t="n">
        <f aca="false">H57/12</f>
        <v>2896.12</v>
      </c>
      <c r="J57" s="64" t="n">
        <f aca="false">IFERROR(H57/$H$66,0)</f>
        <v>0.0510158264054093</v>
      </c>
      <c r="K57" s="55"/>
    </row>
    <row r="58" customFormat="false" ht="15" hidden="false" customHeight="true" outlineLevel="0" collapsed="false">
      <c r="B58" s="60" t="s">
        <v>164</v>
      </c>
      <c r="C58" s="5" t="s">
        <v>169</v>
      </c>
      <c r="D58" s="61" t="n">
        <v>0</v>
      </c>
      <c r="E58" s="62" t="n">
        <v>0</v>
      </c>
      <c r="F58" s="62" t="n">
        <f aca="false">D58*E58</f>
        <v>0</v>
      </c>
      <c r="G58" s="63" t="n">
        <f aca="false">F15</f>
        <v>0</v>
      </c>
      <c r="H58" s="43" t="n">
        <f aca="false">F58*G58</f>
        <v>0</v>
      </c>
      <c r="I58" s="43" t="n">
        <f aca="false">H58/12</f>
        <v>0</v>
      </c>
      <c r="J58" s="64" t="n">
        <f aca="false">IFERROR(H58/$H$66,0)</f>
        <v>0</v>
      </c>
      <c r="K58" s="55"/>
    </row>
    <row r="59" customFormat="false" ht="15" hidden="false" customHeight="true" outlineLevel="0" collapsed="false">
      <c r="B59" s="60" t="s">
        <v>164</v>
      </c>
      <c r="C59" s="5" t="s">
        <v>170</v>
      </c>
      <c r="D59" s="61" t="n">
        <v>0</v>
      </c>
      <c r="E59" s="62" t="n">
        <v>0</v>
      </c>
      <c r="F59" s="62" t="n">
        <f aca="false">D59*E59</f>
        <v>0</v>
      </c>
      <c r="G59" s="63" t="n">
        <f aca="false">F16</f>
        <v>0</v>
      </c>
      <c r="H59" s="43" t="n">
        <f aca="false">F59*G59</f>
        <v>0</v>
      </c>
      <c r="I59" s="43" t="n">
        <f aca="false">H59/12</f>
        <v>0</v>
      </c>
      <c r="J59" s="64" t="n">
        <f aca="false">IFERROR(H59/$H$66,0)</f>
        <v>0</v>
      </c>
      <c r="K59" s="55"/>
    </row>
    <row r="60" customFormat="false" ht="15" hidden="false" customHeight="true" outlineLevel="0" collapsed="false">
      <c r="B60" s="60" t="s">
        <v>171</v>
      </c>
      <c r="C60" s="5" t="s">
        <v>172</v>
      </c>
      <c r="D60" s="61" t="n">
        <v>12</v>
      </c>
      <c r="E60" s="62" t="n">
        <v>25.38</v>
      </c>
      <c r="F60" s="62" t="n">
        <f aca="false">D60*E60</f>
        <v>304.56</v>
      </c>
      <c r="G60" s="63" t="n">
        <f aca="false">F17</f>
        <v>480</v>
      </c>
      <c r="H60" s="43" t="n">
        <f aca="false">F60*G60</f>
        <v>146188.8</v>
      </c>
      <c r="I60" s="43" t="n">
        <f aca="false">H60/12</f>
        <v>12182.4</v>
      </c>
      <c r="J60" s="64" t="n">
        <f aca="false">IFERROR(H60/$H$66,0)</f>
        <v>0.214595805284746</v>
      </c>
      <c r="K60" s="55"/>
    </row>
    <row r="61" customFormat="false" ht="15" hidden="false" customHeight="true" outlineLevel="0" collapsed="false">
      <c r="B61" s="60" t="s">
        <v>171</v>
      </c>
      <c r="C61" s="5" t="s">
        <v>173</v>
      </c>
      <c r="D61" s="61" t="n">
        <v>4</v>
      </c>
      <c r="E61" s="62" t="n">
        <v>38.03</v>
      </c>
      <c r="F61" s="62" t="n">
        <f aca="false">D61*E61</f>
        <v>152.12</v>
      </c>
      <c r="G61" s="63" t="n">
        <f aca="false">F18</f>
        <v>456</v>
      </c>
      <c r="H61" s="43" t="n">
        <f aca="false">F61*G61</f>
        <v>69366.72</v>
      </c>
      <c r="I61" s="43" t="n">
        <f aca="false">H61/12</f>
        <v>5780.56</v>
      </c>
      <c r="J61" s="64" t="n">
        <f aca="false">IFERROR(H61/$H$66,0)</f>
        <v>0.101825906898213</v>
      </c>
      <c r="K61" s="55"/>
    </row>
    <row r="62" customFormat="false" ht="15" hidden="false" customHeight="true" outlineLevel="0" collapsed="false">
      <c r="B62" s="60" t="s">
        <v>171</v>
      </c>
      <c r="C62" s="5" t="s">
        <v>174</v>
      </c>
      <c r="D62" s="61" t="n">
        <v>4</v>
      </c>
      <c r="E62" s="62" t="n">
        <v>53.05</v>
      </c>
      <c r="F62" s="62" t="n">
        <f aca="false">D62*E62</f>
        <v>212.2</v>
      </c>
      <c r="G62" s="63" t="n">
        <f aca="false">F19</f>
        <v>444</v>
      </c>
      <c r="H62" s="43" t="n">
        <f aca="false">F62*G62</f>
        <v>94216.8</v>
      </c>
      <c r="I62" s="43" t="n">
        <f aca="false">H62/12</f>
        <v>7851.4</v>
      </c>
      <c r="J62" s="64" t="n">
        <f aca="false">IFERROR(H62/$H$66,0)</f>
        <v>0.138304234437603</v>
      </c>
      <c r="K62" s="55"/>
    </row>
    <row r="63" customFormat="false" ht="15" hidden="false" customHeight="true" outlineLevel="0" collapsed="false">
      <c r="B63" s="60" t="s">
        <v>175</v>
      </c>
      <c r="C63" s="5" t="s">
        <v>176</v>
      </c>
      <c r="D63" s="61" t="n">
        <v>4</v>
      </c>
      <c r="E63" s="62" t="n">
        <v>61.14</v>
      </c>
      <c r="F63" s="62" t="n">
        <f aca="false">D63*E63</f>
        <v>244.56</v>
      </c>
      <c r="G63" s="63" t="n">
        <f aca="false">F20</f>
        <v>108</v>
      </c>
      <c r="H63" s="43" t="n">
        <f aca="false">F63*G63</f>
        <v>26412.48</v>
      </c>
      <c r="I63" s="43" t="n">
        <f aca="false">H63/12</f>
        <v>2201.04</v>
      </c>
      <c r="J63" s="64" t="n">
        <f aca="false">IFERROR(H63/$H$66,0)</f>
        <v>0.0387718307775099</v>
      </c>
      <c r="K63" s="55"/>
    </row>
    <row r="64" customFormat="false" ht="15" hidden="false" customHeight="true" outlineLevel="0" collapsed="false">
      <c r="B64" s="60" t="s">
        <v>175</v>
      </c>
      <c r="C64" s="5" t="s">
        <v>177</v>
      </c>
      <c r="D64" s="61" t="n">
        <v>2</v>
      </c>
      <c r="E64" s="62" t="n">
        <v>61.24</v>
      </c>
      <c r="F64" s="62" t="n">
        <f aca="false">D64*E64</f>
        <v>122.48</v>
      </c>
      <c r="G64" s="63" t="n">
        <f aca="false">F21</f>
        <v>108</v>
      </c>
      <c r="H64" s="43" t="n">
        <f aca="false">F64*G64</f>
        <v>13227.84</v>
      </c>
      <c r="I64" s="43" t="n">
        <f aca="false">H64/12</f>
        <v>1102.32</v>
      </c>
      <c r="J64" s="64" t="n">
        <f aca="false">IFERROR(H64/$H$66,0)</f>
        <v>0.0194176228067935</v>
      </c>
      <c r="K64" s="55"/>
    </row>
    <row r="65" customFormat="false" ht="15" hidden="false" customHeight="true" outlineLevel="0" collapsed="false">
      <c r="B65" s="60" t="s">
        <v>175</v>
      </c>
      <c r="C65" s="5" t="s">
        <v>178</v>
      </c>
      <c r="D65" s="61" t="n">
        <v>4</v>
      </c>
      <c r="E65" s="62" t="n">
        <v>68.1</v>
      </c>
      <c r="F65" s="62" t="n">
        <f aca="false">D65*E65</f>
        <v>272.4</v>
      </c>
      <c r="G65" s="63" t="n">
        <f aca="false">F22</f>
        <v>108</v>
      </c>
      <c r="H65" s="43" t="n">
        <f aca="false">F65*G65</f>
        <v>29419.2</v>
      </c>
      <c r="I65" s="43" t="n">
        <f aca="false">H65/12</f>
        <v>2451.6</v>
      </c>
      <c r="J65" s="64" t="n">
        <f aca="false">IFERROR(H65/$H$66,0)</f>
        <v>0.0431855033684728</v>
      </c>
      <c r="K65" s="55"/>
    </row>
    <row r="66" customFormat="false" ht="15" hidden="false" customHeight="true" outlineLevel="0" collapsed="false">
      <c r="B66" s="65" t="s">
        <v>182</v>
      </c>
      <c r="C66" s="65"/>
      <c r="D66" s="65"/>
      <c r="E66" s="65"/>
      <c r="F66" s="66" t="n">
        <f aca="false">SUM(F50:F65)</f>
        <v>2946.14</v>
      </c>
      <c r="G66" s="67"/>
      <c r="H66" s="68" t="n">
        <f aca="false">SUM(H50:H65)</f>
        <v>681228.6</v>
      </c>
      <c r="I66" s="68" t="n">
        <f aca="false">H66/12</f>
        <v>56769.05</v>
      </c>
      <c r="J66" s="67"/>
      <c r="K66" s="67"/>
    </row>
    <row r="67" customFormat="false" ht="15" hidden="false" customHeight="true" outlineLevel="0" collapsed="false">
      <c r="B67" s="69" t="s">
        <v>180</v>
      </c>
      <c r="C67" s="69"/>
      <c r="D67" s="69"/>
      <c r="E67" s="69"/>
      <c r="F67" s="69"/>
      <c r="G67" s="69"/>
      <c r="H67" s="45" t="n">
        <f aca="false">H66*(1-Leerstand)</f>
        <v>647167.17</v>
      </c>
      <c r="I67" s="45" t="n">
        <f aca="false">H67/12</f>
        <v>53930.5975</v>
      </c>
    </row>
    <row r="70" customFormat="false" ht="17.25" hidden="false" customHeight="true" outlineLevel="0" collapsed="false">
      <c r="B70" s="6" t="s">
        <v>183</v>
      </c>
      <c r="C70" s="6"/>
      <c r="D70" s="6"/>
      <c r="E70" s="6"/>
      <c r="F70" s="6"/>
      <c r="G70" s="6"/>
      <c r="H70" s="6"/>
      <c r="I70" s="6"/>
      <c r="J70" s="6"/>
      <c r="K70" s="6"/>
    </row>
    <row r="71" customFormat="false" ht="15" hidden="false" customHeight="true" outlineLevel="0" collapsed="false">
      <c r="B71" s="25" t="s">
        <v>151</v>
      </c>
      <c r="C71" s="25" t="s">
        <v>118</v>
      </c>
      <c r="D71" s="25" t="s">
        <v>152</v>
      </c>
      <c r="E71" s="25" t="s">
        <v>153</v>
      </c>
      <c r="F71" s="25" t="s">
        <v>154</v>
      </c>
      <c r="G71" s="25" t="s">
        <v>155</v>
      </c>
      <c r="H71" s="25" t="s">
        <v>156</v>
      </c>
      <c r="I71" s="25" t="s">
        <v>157</v>
      </c>
      <c r="J71" s="25" t="s">
        <v>158</v>
      </c>
      <c r="K71" s="25" t="s">
        <v>120</v>
      </c>
    </row>
    <row r="72" customFormat="false" ht="15" hidden="false" customHeight="true" outlineLevel="0" collapsed="false">
      <c r="B72" s="60" t="s">
        <v>159</v>
      </c>
      <c r="C72" s="5" t="s">
        <v>160</v>
      </c>
      <c r="D72" s="61" t="n">
        <v>0</v>
      </c>
      <c r="E72" s="62" t="n">
        <v>0</v>
      </c>
      <c r="F72" s="62" t="n">
        <f aca="false">D72*E72</f>
        <v>0</v>
      </c>
      <c r="G72" s="63" t="n">
        <f aca="false">G7</f>
        <v>168</v>
      </c>
      <c r="H72" s="43" t="n">
        <f aca="false">F72*G72</f>
        <v>0</v>
      </c>
      <c r="I72" s="43" t="n">
        <f aca="false">H72/12</f>
        <v>0</v>
      </c>
      <c r="J72" s="64" t="n">
        <f aca="false">IFERROR(H72/$H$88,0)</f>
        <v>0</v>
      </c>
      <c r="K72" s="55"/>
    </row>
    <row r="73" customFormat="false" ht="15" hidden="false" customHeight="true" outlineLevel="0" collapsed="false">
      <c r="B73" s="60" t="s">
        <v>159</v>
      </c>
      <c r="C73" s="5" t="s">
        <v>161</v>
      </c>
      <c r="D73" s="61" t="n">
        <v>0</v>
      </c>
      <c r="E73" s="62" t="n">
        <v>0</v>
      </c>
      <c r="F73" s="62" t="n">
        <f aca="false">D73*E73</f>
        <v>0</v>
      </c>
      <c r="G73" s="63" t="n">
        <f aca="false">G8</f>
        <v>168</v>
      </c>
      <c r="H73" s="43" t="n">
        <f aca="false">F73*G73</f>
        <v>0</v>
      </c>
      <c r="I73" s="43" t="n">
        <f aca="false">H73/12</f>
        <v>0</v>
      </c>
      <c r="J73" s="64" t="n">
        <f aca="false">IFERROR(H73/$H$88,0)</f>
        <v>0</v>
      </c>
      <c r="K73" s="55"/>
    </row>
    <row r="74" customFormat="false" ht="15" hidden="false" customHeight="true" outlineLevel="0" collapsed="false">
      <c r="B74" s="60" t="s">
        <v>159</v>
      </c>
      <c r="C74" s="5" t="s">
        <v>162</v>
      </c>
      <c r="D74" s="61" t="n">
        <v>1</v>
      </c>
      <c r="E74" s="62" t="n">
        <v>516.66</v>
      </c>
      <c r="F74" s="62" t="n">
        <f aca="false">D74*E74</f>
        <v>516.66</v>
      </c>
      <c r="G74" s="63" t="n">
        <f aca="false">G9</f>
        <v>168</v>
      </c>
      <c r="H74" s="43" t="n">
        <f aca="false">F74*G74</f>
        <v>86798.88</v>
      </c>
      <c r="I74" s="43" t="n">
        <f aca="false">H74/12</f>
        <v>7233.24</v>
      </c>
      <c r="J74" s="64" t="n">
        <f aca="false">IFERROR(H74/$H$88,0)</f>
        <v>0.125338374657986</v>
      </c>
      <c r="K74" s="55"/>
    </row>
    <row r="75" customFormat="false" ht="15" hidden="false" customHeight="true" outlineLevel="0" collapsed="false">
      <c r="B75" s="60" t="s">
        <v>159</v>
      </c>
      <c r="C75" s="5" t="s">
        <v>163</v>
      </c>
      <c r="D75" s="61" t="n">
        <v>1</v>
      </c>
      <c r="E75" s="62" t="n">
        <v>518.86</v>
      </c>
      <c r="F75" s="62" t="n">
        <f aca="false">D75*E75</f>
        <v>518.86</v>
      </c>
      <c r="G75" s="63" t="n">
        <f aca="false">G10</f>
        <v>168</v>
      </c>
      <c r="H75" s="43" t="n">
        <f aca="false">F75*G75</f>
        <v>87168.48</v>
      </c>
      <c r="I75" s="43" t="n">
        <f aca="false">H75/12</f>
        <v>7264.04</v>
      </c>
      <c r="J75" s="64" t="n">
        <f aca="false">IFERROR(H75/$H$88,0)</f>
        <v>0.125872080430153</v>
      </c>
      <c r="K75" s="55"/>
    </row>
    <row r="76" customFormat="false" ht="15" hidden="false" customHeight="true" outlineLevel="0" collapsed="false">
      <c r="B76" s="60" t="s">
        <v>164</v>
      </c>
      <c r="C76" s="5" t="s">
        <v>165</v>
      </c>
      <c r="D76" s="61" t="n">
        <v>2</v>
      </c>
      <c r="E76" s="62" t="n">
        <v>27.08</v>
      </c>
      <c r="F76" s="62" t="n">
        <f aca="false">D76*E76</f>
        <v>54.16</v>
      </c>
      <c r="G76" s="63" t="n">
        <f aca="false">G11</f>
        <v>210</v>
      </c>
      <c r="H76" s="43" t="n">
        <f aca="false">F76*G76</f>
        <v>11373.6</v>
      </c>
      <c r="I76" s="43" t="n">
        <f aca="false">H76/12</f>
        <v>947.8</v>
      </c>
      <c r="J76" s="64" t="n">
        <f aca="false">IFERROR(H76/$H$88,0)</f>
        <v>0.0164235821707616</v>
      </c>
      <c r="K76" s="55"/>
    </row>
    <row r="77" customFormat="false" ht="15" hidden="false" customHeight="true" outlineLevel="0" collapsed="false">
      <c r="B77" s="60" t="s">
        <v>164</v>
      </c>
      <c r="C77" s="5" t="s">
        <v>166</v>
      </c>
      <c r="D77" s="61" t="n">
        <v>2</v>
      </c>
      <c r="E77" s="62" t="n">
        <v>39.73</v>
      </c>
      <c r="F77" s="62" t="n">
        <f aca="false">D77*E77</f>
        <v>79.46</v>
      </c>
      <c r="G77" s="63" t="n">
        <f aca="false">G12</f>
        <v>204</v>
      </c>
      <c r="H77" s="43" t="n">
        <f aca="false">F77*G77</f>
        <v>16209.84</v>
      </c>
      <c r="I77" s="43" t="n">
        <f aca="false">H77/12</f>
        <v>1350.82</v>
      </c>
      <c r="J77" s="64" t="n">
        <f aca="false">IFERROR(H77/$H$88,0)</f>
        <v>0.0234071568557799</v>
      </c>
      <c r="K77" s="55"/>
    </row>
    <row r="78" customFormat="false" ht="15" hidden="false" customHeight="true" outlineLevel="0" collapsed="false">
      <c r="B78" s="60" t="s">
        <v>164</v>
      </c>
      <c r="C78" s="5" t="s">
        <v>167</v>
      </c>
      <c r="D78" s="61" t="n">
        <v>2</v>
      </c>
      <c r="E78" s="62" t="n">
        <v>42.03</v>
      </c>
      <c r="F78" s="62" t="n">
        <f aca="false">D78*E78</f>
        <v>84.06</v>
      </c>
      <c r="G78" s="63" t="n">
        <f aca="false">G13</f>
        <v>204</v>
      </c>
      <c r="H78" s="43" t="n">
        <f aca="false">F78*G78</f>
        <v>17148.24</v>
      </c>
      <c r="I78" s="43" t="n">
        <f aca="false">H78/12</f>
        <v>1429.02</v>
      </c>
      <c r="J78" s="64" t="n">
        <f aca="false">IFERROR(H78/$H$88,0)</f>
        <v>0.0247622150175794</v>
      </c>
      <c r="K78" s="55"/>
    </row>
    <row r="79" customFormat="false" ht="15" hidden="false" customHeight="true" outlineLevel="0" collapsed="false">
      <c r="B79" s="60" t="s">
        <v>164</v>
      </c>
      <c r="C79" s="5" t="s">
        <v>168</v>
      </c>
      <c r="D79" s="61" t="n">
        <v>2</v>
      </c>
      <c r="E79" s="62" t="n">
        <v>42.59</v>
      </c>
      <c r="F79" s="62" t="n">
        <f aca="false">D79*E79</f>
        <v>85.18</v>
      </c>
      <c r="G79" s="63" t="n">
        <f aca="false">G14</f>
        <v>204</v>
      </c>
      <c r="H79" s="43" t="n">
        <f aca="false">F79*G79</f>
        <v>17376.72</v>
      </c>
      <c r="I79" s="43" t="n">
        <f aca="false">H79/12</f>
        <v>1448.06</v>
      </c>
      <c r="J79" s="64" t="n">
        <f aca="false">IFERROR(H79/$H$88,0)</f>
        <v>0.0250921422221914</v>
      </c>
      <c r="K79" s="55"/>
    </row>
    <row r="80" customFormat="false" ht="15" hidden="false" customHeight="true" outlineLevel="0" collapsed="false">
      <c r="B80" s="60" t="s">
        <v>164</v>
      </c>
      <c r="C80" s="5" t="s">
        <v>169</v>
      </c>
      <c r="D80" s="61" t="n">
        <v>2</v>
      </c>
      <c r="E80" s="62" t="n">
        <v>102.58</v>
      </c>
      <c r="F80" s="62" t="n">
        <f aca="false">D80*E80</f>
        <v>205.16</v>
      </c>
      <c r="G80" s="63" t="n">
        <f aca="false">G15</f>
        <v>180</v>
      </c>
      <c r="H80" s="43" t="n">
        <f aca="false">F80*G80</f>
        <v>36928.8</v>
      </c>
      <c r="I80" s="43" t="n">
        <f aca="false">H80/12</f>
        <v>3077.4</v>
      </c>
      <c r="J80" s="64" t="n">
        <f aca="false">IFERROR(H80/$H$88,0)</f>
        <v>0.0533255241319917</v>
      </c>
      <c r="K80" s="55"/>
    </row>
    <row r="81" customFormat="false" ht="15" hidden="false" customHeight="true" outlineLevel="0" collapsed="false">
      <c r="B81" s="60" t="s">
        <v>164</v>
      </c>
      <c r="C81" s="5" t="s">
        <v>170</v>
      </c>
      <c r="D81" s="61" t="n">
        <v>2</v>
      </c>
      <c r="E81" s="62" t="n">
        <v>113</v>
      </c>
      <c r="F81" s="62" t="n">
        <f aca="false">D81*E81</f>
        <v>226</v>
      </c>
      <c r="G81" s="63" t="n">
        <f aca="false">G16</f>
        <v>180</v>
      </c>
      <c r="H81" s="43" t="n">
        <f aca="false">F81*G81</f>
        <v>40680</v>
      </c>
      <c r="I81" s="43" t="n">
        <f aca="false">H81/12</f>
        <v>3390</v>
      </c>
      <c r="J81" s="64" t="n">
        <f aca="false">IFERROR(H81/$H$88,0)</f>
        <v>0.0587422911572925</v>
      </c>
      <c r="K81" s="55"/>
    </row>
    <row r="82" customFormat="false" ht="15" hidden="false" customHeight="true" outlineLevel="0" collapsed="false">
      <c r="B82" s="60" t="s">
        <v>171</v>
      </c>
      <c r="C82" s="5" t="s">
        <v>172</v>
      </c>
      <c r="D82" s="61" t="n">
        <v>12</v>
      </c>
      <c r="E82" s="62" t="n">
        <v>25.38</v>
      </c>
      <c r="F82" s="62" t="n">
        <f aca="false">D82*E82</f>
        <v>304.56</v>
      </c>
      <c r="G82" s="63" t="n">
        <f aca="false">G17</f>
        <v>480</v>
      </c>
      <c r="H82" s="43" t="n">
        <f aca="false">F82*G82</f>
        <v>146188.8</v>
      </c>
      <c r="I82" s="43" t="n">
        <f aca="false">H82/12</f>
        <v>12182.4</v>
      </c>
      <c r="J82" s="64" t="n">
        <f aca="false">IFERROR(H82/$H$88,0)</f>
        <v>0.211097961001357</v>
      </c>
      <c r="K82" s="55"/>
    </row>
    <row r="83" customFormat="false" ht="15" hidden="false" customHeight="true" outlineLevel="0" collapsed="false">
      <c r="B83" s="60" t="s">
        <v>171</v>
      </c>
      <c r="C83" s="5" t="s">
        <v>173</v>
      </c>
      <c r="D83" s="61" t="n">
        <v>4</v>
      </c>
      <c r="E83" s="62" t="n">
        <v>38.03</v>
      </c>
      <c r="F83" s="62" t="n">
        <f aca="false">D83*E83</f>
        <v>152.12</v>
      </c>
      <c r="G83" s="63" t="n">
        <f aca="false">G18</f>
        <v>456</v>
      </c>
      <c r="H83" s="43" t="n">
        <f aca="false">F83*G83</f>
        <v>69366.72</v>
      </c>
      <c r="I83" s="43" t="n">
        <f aca="false">H83/12</f>
        <v>5780.56</v>
      </c>
      <c r="J83" s="64" t="n">
        <f aca="false">IFERROR(H83/$H$88,0)</f>
        <v>0.10016617656997</v>
      </c>
      <c r="K83" s="55"/>
    </row>
    <row r="84" customFormat="false" ht="15" hidden="false" customHeight="true" outlineLevel="0" collapsed="false">
      <c r="B84" s="60" t="s">
        <v>171</v>
      </c>
      <c r="C84" s="5" t="s">
        <v>174</v>
      </c>
      <c r="D84" s="61" t="n">
        <v>4</v>
      </c>
      <c r="E84" s="62" t="n">
        <v>53.05</v>
      </c>
      <c r="F84" s="62" t="n">
        <f aca="false">D84*E84</f>
        <v>212.2</v>
      </c>
      <c r="G84" s="63" t="n">
        <f aca="false">G19</f>
        <v>444</v>
      </c>
      <c r="H84" s="43" t="n">
        <f aca="false">F84*G84</f>
        <v>94216.8</v>
      </c>
      <c r="I84" s="43" t="n">
        <f aca="false">H84/12</f>
        <v>7851.4</v>
      </c>
      <c r="J84" s="64" t="n">
        <f aca="false">IFERROR(H84/$H$88,0)</f>
        <v>0.136049918817807</v>
      </c>
      <c r="K84" s="55"/>
    </row>
    <row r="85" customFormat="false" ht="15" hidden="false" customHeight="true" outlineLevel="0" collapsed="false">
      <c r="B85" s="60" t="s">
        <v>175</v>
      </c>
      <c r="C85" s="5" t="s">
        <v>176</v>
      </c>
      <c r="D85" s="61" t="n">
        <v>4</v>
      </c>
      <c r="E85" s="62" t="n">
        <v>61.14</v>
      </c>
      <c r="F85" s="62" t="n">
        <f aca="false">D85*E85</f>
        <v>244.56</v>
      </c>
      <c r="G85" s="63" t="n">
        <f aca="false">G20</f>
        <v>108</v>
      </c>
      <c r="H85" s="43" t="n">
        <f aca="false">F85*G85</f>
        <v>26412.48</v>
      </c>
      <c r="I85" s="43" t="n">
        <f aca="false">H85/12</f>
        <v>2201.04</v>
      </c>
      <c r="J85" s="64" t="n">
        <f aca="false">IFERROR(H85/$H$88,0)</f>
        <v>0.0381398621029047</v>
      </c>
      <c r="K85" s="55"/>
    </row>
    <row r="86" customFormat="false" ht="15" hidden="false" customHeight="true" outlineLevel="0" collapsed="false">
      <c r="B86" s="60" t="s">
        <v>175</v>
      </c>
      <c r="C86" s="5" t="s">
        <v>177</v>
      </c>
      <c r="D86" s="61" t="n">
        <v>2</v>
      </c>
      <c r="E86" s="62" t="n">
        <v>61.24</v>
      </c>
      <c r="F86" s="62" t="n">
        <f aca="false">D86*E86</f>
        <v>122.48</v>
      </c>
      <c r="G86" s="63" t="n">
        <f aca="false">G21</f>
        <v>108</v>
      </c>
      <c r="H86" s="43" t="n">
        <f aca="false">F86*G86</f>
        <v>13227.84</v>
      </c>
      <c r="I86" s="43" t="n">
        <f aca="false">H86/12</f>
        <v>1102.32</v>
      </c>
      <c r="J86" s="64" t="n">
        <f aca="false">IFERROR(H86/$H$88,0)</f>
        <v>0.019101121648527</v>
      </c>
      <c r="K86" s="55"/>
    </row>
    <row r="87" customFormat="false" ht="15" hidden="false" customHeight="true" outlineLevel="0" collapsed="false">
      <c r="B87" s="60" t="s">
        <v>175</v>
      </c>
      <c r="C87" s="5" t="s">
        <v>178</v>
      </c>
      <c r="D87" s="61" t="n">
        <v>4</v>
      </c>
      <c r="E87" s="62" t="n">
        <v>68.1</v>
      </c>
      <c r="F87" s="62" t="n">
        <f aca="false">D87*E87</f>
        <v>272.4</v>
      </c>
      <c r="G87" s="63" t="n">
        <f aca="false">G22</f>
        <v>108</v>
      </c>
      <c r="H87" s="43" t="n">
        <f aca="false">F87*G87</f>
        <v>29419.2</v>
      </c>
      <c r="I87" s="43" t="n">
        <f aca="false">H87/12</f>
        <v>2451.6</v>
      </c>
      <c r="J87" s="64" t="n">
        <f aca="false">IFERROR(H87/$H$88,0)</f>
        <v>0.0424815932156986</v>
      </c>
      <c r="K87" s="55"/>
    </row>
    <row r="88" customFormat="false" ht="15" hidden="false" customHeight="true" outlineLevel="0" collapsed="false">
      <c r="B88" s="65" t="s">
        <v>184</v>
      </c>
      <c r="C88" s="65"/>
      <c r="D88" s="65"/>
      <c r="E88" s="65"/>
      <c r="F88" s="66" t="n">
        <f aca="false">SUM(F72:F87)</f>
        <v>3077.86</v>
      </c>
      <c r="G88" s="67"/>
      <c r="H88" s="68" t="n">
        <f aca="false">SUM(H72:H87)</f>
        <v>692516.4</v>
      </c>
      <c r="I88" s="68" t="n">
        <f aca="false">H88/12</f>
        <v>57709.7</v>
      </c>
      <c r="J88" s="67"/>
      <c r="K88" s="67"/>
    </row>
    <row r="89" customFormat="false" ht="15" hidden="false" customHeight="true" outlineLevel="0" collapsed="false">
      <c r="B89" s="69" t="s">
        <v>180</v>
      </c>
      <c r="C89" s="69"/>
      <c r="D89" s="69"/>
      <c r="E89" s="69"/>
      <c r="F89" s="69"/>
      <c r="G89" s="69"/>
      <c r="H89" s="45" t="n">
        <f aca="false">H88*(1-Leerstand)</f>
        <v>657890.58</v>
      </c>
      <c r="I89" s="45" t="n">
        <f aca="false">H89/12</f>
        <v>54824.215</v>
      </c>
    </row>
    <row r="92" customFormat="false" ht="17.25" hidden="false" customHeight="true" outlineLevel="0" collapsed="false">
      <c r="B92" s="24" t="s">
        <v>185</v>
      </c>
      <c r="C92" s="24"/>
      <c r="D92" s="24"/>
      <c r="E92" s="24"/>
      <c r="F92" s="24"/>
      <c r="G92" s="24"/>
      <c r="H92" s="24"/>
      <c r="I92" s="24"/>
      <c r="J92" s="24"/>
      <c r="K92" s="24"/>
    </row>
    <row r="93" customFormat="false" ht="15" hidden="false" customHeight="true" outlineLevel="0" collapsed="false">
      <c r="B93" s="70" t="s">
        <v>186</v>
      </c>
      <c r="C93" s="70"/>
      <c r="D93" s="70"/>
      <c r="E93" s="70"/>
      <c r="F93" s="71" t="n">
        <f aca="false">Flaeche_A+Flaeche_B+Flaeche_C</f>
        <v>8970.14</v>
      </c>
    </row>
    <row r="94" customFormat="false" ht="15" hidden="false" customHeight="true" outlineLevel="0" collapsed="false">
      <c r="B94" s="70" t="s">
        <v>187</v>
      </c>
      <c r="C94" s="70"/>
      <c r="D94" s="70"/>
      <c r="E94" s="70"/>
      <c r="F94" s="70"/>
      <c r="G94" s="70"/>
      <c r="H94" s="72" t="n">
        <f aca="false">Mietertrag_A+Mietertrag_B+Mietertrag_C</f>
        <v>2054973.6</v>
      </c>
    </row>
    <row r="95" customFormat="false" ht="15" hidden="false" customHeight="true" outlineLevel="0" collapsed="false">
      <c r="B95" s="70" t="s">
        <v>188</v>
      </c>
      <c r="C95" s="70"/>
      <c r="D95" s="70"/>
      <c r="E95" s="70"/>
      <c r="F95" s="70"/>
      <c r="G95" s="70"/>
      <c r="H95" s="73" t="n">
        <f aca="false">Mietertrag_A_eff+Mietertrag_B_eff+Mietertrag_C_eff</f>
        <v>1952224.92</v>
      </c>
    </row>
  </sheetData>
  <mergeCells count="51">
    <mergeCell ref="B2:K2"/>
    <mergeCell ref="B3:K3"/>
    <mergeCell ref="B5:K5"/>
    <mergeCell ref="B6:C6"/>
    <mergeCell ref="H6:K6"/>
    <mergeCell ref="B7:C7"/>
    <mergeCell ref="H7:K7"/>
    <mergeCell ref="B8:C8"/>
    <mergeCell ref="H8:K8"/>
    <mergeCell ref="B9:C9"/>
    <mergeCell ref="H9:K9"/>
    <mergeCell ref="B10:C10"/>
    <mergeCell ref="H10:K10"/>
    <mergeCell ref="B11:C11"/>
    <mergeCell ref="H11:K11"/>
    <mergeCell ref="B12:C12"/>
    <mergeCell ref="H12:K12"/>
    <mergeCell ref="B13:C13"/>
    <mergeCell ref="H13:K13"/>
    <mergeCell ref="B14:C14"/>
    <mergeCell ref="H14:K14"/>
    <mergeCell ref="B15:C15"/>
    <mergeCell ref="H15:K15"/>
    <mergeCell ref="B16:C16"/>
    <mergeCell ref="H16:K16"/>
    <mergeCell ref="B17:C17"/>
    <mergeCell ref="H17:K17"/>
    <mergeCell ref="B18:C18"/>
    <mergeCell ref="H18:K18"/>
    <mergeCell ref="B19:C19"/>
    <mergeCell ref="H19:K19"/>
    <mergeCell ref="B20:C20"/>
    <mergeCell ref="H20:K20"/>
    <mergeCell ref="B21:C21"/>
    <mergeCell ref="H21:K21"/>
    <mergeCell ref="B22:C22"/>
    <mergeCell ref="H22:K22"/>
    <mergeCell ref="B24:D24"/>
    <mergeCell ref="B26:K26"/>
    <mergeCell ref="B44:E44"/>
    <mergeCell ref="B45:G45"/>
    <mergeCell ref="B48:K48"/>
    <mergeCell ref="B66:E66"/>
    <mergeCell ref="B67:G67"/>
    <mergeCell ref="B70:K70"/>
    <mergeCell ref="B88:E88"/>
    <mergeCell ref="B89:G89"/>
    <mergeCell ref="B92:K92"/>
    <mergeCell ref="B93:E93"/>
    <mergeCell ref="B94:G94"/>
    <mergeCell ref="B95:G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B2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8" min="5" style="1" width="16"/>
    <col collapsed="false" customWidth="true" hidden="false" outlineLevel="0" max="9" min="9" style="1" width="14"/>
    <col collapsed="false" customWidth="true" hidden="false" outlineLevel="0" max="10" min="10" style="1" width="30"/>
    <col collapsed="false" customWidth="true" hidden="false" outlineLevel="0" max="11" min="11" style="1" width="3"/>
  </cols>
  <sheetData>
    <row r="2" customFormat="false" ht="21.75" hidden="false" customHeight="true" outlineLevel="0" collapsed="false">
      <c r="B2" s="35" t="s">
        <v>189</v>
      </c>
      <c r="C2" s="35"/>
      <c r="D2" s="35"/>
      <c r="E2" s="35"/>
      <c r="F2" s="35"/>
      <c r="G2" s="35"/>
      <c r="H2" s="35"/>
      <c r="I2" s="35"/>
      <c r="J2" s="35"/>
    </row>
    <row r="3" customFormat="false" ht="15" hidden="false" customHeight="true" outlineLevel="0" collapsed="false">
      <c r="B3" s="36" t="s">
        <v>190</v>
      </c>
      <c r="C3" s="36"/>
      <c r="D3" s="36"/>
      <c r="E3" s="36"/>
      <c r="F3" s="36"/>
      <c r="G3" s="36"/>
      <c r="H3" s="36"/>
      <c r="I3" s="36"/>
      <c r="J3" s="36"/>
    </row>
    <row r="5" customFormat="false" ht="17.25" hidden="false" customHeight="true" outlineLevel="0" collapsed="false">
      <c r="B5" s="24" t="s">
        <v>191</v>
      </c>
      <c r="C5" s="24"/>
      <c r="D5" s="24"/>
      <c r="E5" s="24"/>
      <c r="F5" s="24"/>
      <c r="G5" s="24"/>
      <c r="H5" s="24"/>
      <c r="I5" s="24"/>
      <c r="J5" s="24"/>
    </row>
    <row r="6" customFormat="false" ht="15" hidden="false" customHeight="true" outlineLevel="0" collapsed="false">
      <c r="B6" s="25" t="s">
        <v>192</v>
      </c>
      <c r="C6" s="25" t="s">
        <v>193</v>
      </c>
      <c r="D6" s="25"/>
      <c r="E6" s="25"/>
      <c r="F6" s="25" t="s">
        <v>194</v>
      </c>
      <c r="G6" s="25"/>
      <c r="H6" s="25"/>
      <c r="I6" s="25" t="s">
        <v>195</v>
      </c>
    </row>
    <row r="7" customFormat="false" ht="34.5" hidden="false" customHeight="true" outlineLevel="0" collapsed="false">
      <c r="B7" s="74" t="s">
        <v>196</v>
      </c>
      <c r="C7" s="8" t="s">
        <v>197</v>
      </c>
      <c r="D7" s="8"/>
      <c r="E7" s="8"/>
      <c r="F7" s="8" t="s">
        <v>198</v>
      </c>
      <c r="G7" s="8"/>
      <c r="H7" s="8"/>
      <c r="I7" s="75" t="s">
        <v>199</v>
      </c>
    </row>
    <row r="8" customFormat="false" ht="34.5" hidden="false" customHeight="true" outlineLevel="0" collapsed="false">
      <c r="B8" s="74" t="s">
        <v>200</v>
      </c>
      <c r="C8" s="8" t="s">
        <v>201</v>
      </c>
      <c r="D8" s="8"/>
      <c r="E8" s="8"/>
      <c r="F8" s="8" t="s">
        <v>202</v>
      </c>
      <c r="G8" s="8"/>
      <c r="H8" s="8"/>
      <c r="I8" s="75" t="s">
        <v>203</v>
      </c>
    </row>
    <row r="9" customFormat="false" ht="34.5" hidden="false" customHeight="true" outlineLevel="0" collapsed="false">
      <c r="B9" s="74" t="s">
        <v>204</v>
      </c>
      <c r="C9" s="8" t="s">
        <v>205</v>
      </c>
      <c r="D9" s="8"/>
      <c r="E9" s="8"/>
      <c r="F9" s="8" t="s">
        <v>206</v>
      </c>
      <c r="G9" s="8"/>
      <c r="H9" s="8"/>
      <c r="I9" s="75" t="s">
        <v>207</v>
      </c>
    </row>
    <row r="10" customFormat="false" ht="34.5" hidden="false" customHeight="true" outlineLevel="0" collapsed="false">
      <c r="B10" s="74" t="s">
        <v>208</v>
      </c>
      <c r="C10" s="8" t="s">
        <v>209</v>
      </c>
      <c r="D10" s="8"/>
      <c r="E10" s="8"/>
      <c r="F10" s="8" t="s">
        <v>210</v>
      </c>
      <c r="G10" s="8"/>
      <c r="H10" s="8"/>
      <c r="I10" s="75" t="s">
        <v>211</v>
      </c>
    </row>
    <row r="11" customFormat="false" ht="45.75" hidden="false" customHeight="true" outlineLevel="0" collapsed="false">
      <c r="B11" s="74" t="s">
        <v>212</v>
      </c>
      <c r="C11" s="8" t="s">
        <v>213</v>
      </c>
      <c r="D11" s="8"/>
      <c r="E11" s="8"/>
      <c r="F11" s="8" t="s">
        <v>214</v>
      </c>
      <c r="G11" s="8"/>
      <c r="H11" s="8"/>
      <c r="I11" s="75" t="s">
        <v>215</v>
      </c>
    </row>
    <row r="12" customFormat="false" ht="34.5" hidden="false" customHeight="true" outlineLevel="0" collapsed="false">
      <c r="B12" s="74" t="s">
        <v>216</v>
      </c>
      <c r="C12" s="8" t="s">
        <v>217</v>
      </c>
      <c r="D12" s="8"/>
      <c r="E12" s="8"/>
      <c r="F12" s="8" t="s">
        <v>218</v>
      </c>
      <c r="G12" s="8"/>
      <c r="H12" s="8"/>
      <c r="I12" s="75" t="s">
        <v>219</v>
      </c>
    </row>
    <row r="15" customFormat="false" ht="17.25" hidden="false" customHeight="true" outlineLevel="0" collapsed="false">
      <c r="B15" s="24" t="s">
        <v>220</v>
      </c>
      <c r="C15" s="24"/>
      <c r="D15" s="24"/>
      <c r="E15" s="24"/>
      <c r="F15" s="24"/>
      <c r="G15" s="24"/>
      <c r="H15" s="24"/>
      <c r="I15" s="24"/>
      <c r="J15" s="24"/>
    </row>
    <row r="16" customFormat="false" ht="15" hidden="false" customHeight="true" outlineLevel="0" collapsed="false">
      <c r="B16" s="25" t="s">
        <v>221</v>
      </c>
      <c r="C16" s="25" t="s">
        <v>119</v>
      </c>
      <c r="D16" s="25" t="s">
        <v>222</v>
      </c>
      <c r="E16" s="25" t="s">
        <v>223</v>
      </c>
      <c r="F16" s="25"/>
      <c r="G16" s="25" t="s">
        <v>120</v>
      </c>
      <c r="H16" s="25"/>
      <c r="I16" s="25"/>
      <c r="J16" s="25"/>
    </row>
    <row r="17" customFormat="false" ht="15" hidden="false" customHeight="true" outlineLevel="0" collapsed="false">
      <c r="B17" s="5" t="s">
        <v>224</v>
      </c>
      <c r="C17" s="56" t="s">
        <v>225</v>
      </c>
      <c r="D17" s="57" t="n">
        <v>80</v>
      </c>
      <c r="E17" s="76" t="n">
        <v>187.78</v>
      </c>
      <c r="F17" s="76"/>
      <c r="G17" s="39" t="s">
        <v>226</v>
      </c>
      <c r="H17" s="39"/>
      <c r="I17" s="39"/>
      <c r="J17" s="39"/>
    </row>
    <row r="18" customFormat="false" ht="15" hidden="false" customHeight="true" outlineLevel="0" collapsed="false">
      <c r="B18" s="5" t="s">
        <v>227</v>
      </c>
      <c r="C18" s="56" t="s">
        <v>225</v>
      </c>
      <c r="D18" s="57" t="n">
        <v>220</v>
      </c>
      <c r="E18" s="76" t="n">
        <v>38.46</v>
      </c>
      <c r="F18" s="76"/>
      <c r="G18" s="39" t="s">
        <v>228</v>
      </c>
      <c r="H18" s="39"/>
      <c r="I18" s="39"/>
      <c r="J18" s="39"/>
    </row>
    <row r="19" customFormat="false" ht="15" hidden="false" customHeight="true" outlineLevel="0" collapsed="false">
      <c r="B19" s="5" t="s">
        <v>229</v>
      </c>
      <c r="C19" s="56" t="s">
        <v>225</v>
      </c>
      <c r="D19" s="57" t="n">
        <v>80</v>
      </c>
      <c r="E19" s="76" t="n">
        <v>30.9</v>
      </c>
      <c r="F19" s="76"/>
      <c r="G19" s="39" t="s">
        <v>230</v>
      </c>
      <c r="H19" s="39"/>
      <c r="I19" s="39"/>
      <c r="J19" s="39"/>
    </row>
    <row r="20" customFormat="false" ht="15" hidden="false" customHeight="true" outlineLevel="0" collapsed="false">
      <c r="B20" s="5" t="s">
        <v>231</v>
      </c>
      <c r="C20" s="56" t="s">
        <v>225</v>
      </c>
      <c r="D20" s="57" t="n">
        <v>0</v>
      </c>
      <c r="E20" s="76" t="n">
        <v>30.9</v>
      </c>
      <c r="F20" s="76"/>
      <c r="G20" s="39" t="s">
        <v>232</v>
      </c>
      <c r="H20" s="39"/>
      <c r="I20" s="39"/>
      <c r="J20" s="39"/>
    </row>
    <row r="21" customFormat="false" ht="15" hidden="false" customHeight="true" outlineLevel="0" collapsed="false">
      <c r="B21" s="5" t="s">
        <v>233</v>
      </c>
      <c r="C21" s="56" t="s">
        <v>225</v>
      </c>
      <c r="D21" s="57" t="n">
        <v>100</v>
      </c>
      <c r="E21" s="76" t="n">
        <v>25</v>
      </c>
      <c r="F21" s="76"/>
      <c r="G21" s="39" t="s">
        <v>234</v>
      </c>
      <c r="H21" s="39"/>
      <c r="I21" s="39"/>
      <c r="J21" s="39"/>
    </row>
    <row r="24" customFormat="false" ht="17.25" hidden="false" customHeight="true" outlineLevel="0" collapsed="false">
      <c r="B24" s="24" t="s">
        <v>235</v>
      </c>
      <c r="C24" s="24"/>
      <c r="D24" s="24"/>
      <c r="E24" s="24"/>
      <c r="F24" s="24"/>
      <c r="G24" s="24"/>
      <c r="H24" s="24"/>
      <c r="I24" s="24"/>
      <c r="J24" s="24"/>
    </row>
    <row r="25" customFormat="false" ht="23.25" hidden="false" customHeight="true" outlineLevel="0" collapsed="false">
      <c r="B25" s="25" t="s">
        <v>93</v>
      </c>
      <c r="C25" s="25"/>
      <c r="D25" s="25" t="s">
        <v>236</v>
      </c>
      <c r="E25" s="25" t="s">
        <v>222</v>
      </c>
      <c r="F25" s="25" t="s">
        <v>237</v>
      </c>
      <c r="G25" s="25" t="s">
        <v>238</v>
      </c>
      <c r="H25" s="25"/>
      <c r="I25" s="25" t="s">
        <v>120</v>
      </c>
      <c r="J25" s="25"/>
    </row>
    <row r="26" customFormat="false" ht="15" hidden="false" customHeight="true" outlineLevel="0" collapsed="false">
      <c r="B26" s="11" t="s">
        <v>239</v>
      </c>
      <c r="C26" s="11"/>
      <c r="D26" s="62" t="n">
        <v>187.78</v>
      </c>
      <c r="E26" s="63" t="n">
        <f aca="false">$D$17</f>
        <v>80</v>
      </c>
      <c r="F26" s="43" t="n">
        <f aca="false">D26*E26</f>
        <v>15022.4</v>
      </c>
      <c r="G26" s="77" t="s">
        <v>240</v>
      </c>
      <c r="H26" s="77"/>
      <c r="I26" s="39" t="s">
        <v>241</v>
      </c>
      <c r="J26" s="39"/>
    </row>
    <row r="27" customFormat="false" ht="15" hidden="false" customHeight="true" outlineLevel="0" collapsed="false">
      <c r="B27" s="11" t="s">
        <v>242</v>
      </c>
      <c r="C27" s="11"/>
      <c r="D27" s="62" t="n">
        <v>38.46</v>
      </c>
      <c r="E27" s="63" t="n">
        <f aca="false">$D$18</f>
        <v>220</v>
      </c>
      <c r="F27" s="43" t="n">
        <f aca="false">D27*E27</f>
        <v>8461.2</v>
      </c>
      <c r="G27" s="77" t="s">
        <v>240</v>
      </c>
      <c r="H27" s="77"/>
      <c r="I27" s="39" t="s">
        <v>243</v>
      </c>
      <c r="J27" s="39"/>
    </row>
    <row r="28" customFormat="false" ht="15" hidden="false" customHeight="true" outlineLevel="0" collapsed="false">
      <c r="B28" s="11" t="s">
        <v>229</v>
      </c>
      <c r="C28" s="11"/>
      <c r="D28" s="62" t="n">
        <v>30.9</v>
      </c>
      <c r="E28" s="63" t="n">
        <f aca="false">$D$19</f>
        <v>80</v>
      </c>
      <c r="F28" s="43" t="n">
        <f aca="false">D28*E28</f>
        <v>2472</v>
      </c>
      <c r="G28" s="77" t="s">
        <v>240</v>
      </c>
      <c r="H28" s="77"/>
      <c r="I28" s="39" t="s">
        <v>244</v>
      </c>
      <c r="J28" s="39"/>
    </row>
    <row r="29" customFormat="false" ht="15" hidden="false" customHeight="true" outlineLevel="0" collapsed="false">
      <c r="B29" s="11" t="s">
        <v>231</v>
      </c>
      <c r="C29" s="11"/>
      <c r="D29" s="62" t="n">
        <v>30.9</v>
      </c>
      <c r="E29" s="63" t="n">
        <f aca="false">$D$20</f>
        <v>0</v>
      </c>
      <c r="F29" s="43" t="n">
        <f aca="false">D29*E29</f>
        <v>0</v>
      </c>
      <c r="G29" s="77" t="s">
        <v>240</v>
      </c>
      <c r="H29" s="77"/>
      <c r="I29" s="39" t="s">
        <v>245</v>
      </c>
      <c r="J29" s="39"/>
    </row>
    <row r="30" customFormat="false" ht="15" hidden="false" customHeight="true" outlineLevel="0" collapsed="false">
      <c r="B30" s="11" t="s">
        <v>246</v>
      </c>
      <c r="C30" s="11"/>
      <c r="D30" s="62" t="n">
        <v>25</v>
      </c>
      <c r="E30" s="63" t="n">
        <f aca="false">$D$21</f>
        <v>100</v>
      </c>
      <c r="F30" s="43" t="n">
        <f aca="false">D30*E30</f>
        <v>2500</v>
      </c>
      <c r="G30" s="77" t="s">
        <v>240</v>
      </c>
      <c r="H30" s="77"/>
      <c r="I30" s="39" t="s">
        <v>247</v>
      </c>
      <c r="J30" s="39"/>
    </row>
    <row r="31" customFormat="false" ht="15" hidden="false" customHeight="true" outlineLevel="0" collapsed="false">
      <c r="B31" s="78" t="s">
        <v>248</v>
      </c>
      <c r="C31" s="78"/>
      <c r="D31" s="79" t="n">
        <f aca="false">SUM(D26:D30)</f>
        <v>313.04</v>
      </c>
      <c r="E31" s="80"/>
      <c r="F31" s="68" t="n">
        <f aca="false">SUM(F26:F30)</f>
        <v>28455.6</v>
      </c>
      <c r="G31" s="80"/>
      <c r="H31" s="80"/>
      <c r="I31" s="80"/>
      <c r="J31" s="80"/>
    </row>
    <row r="33" customFormat="false" ht="17.25" hidden="false" customHeight="true" outlineLevel="0" collapsed="false">
      <c r="B33" s="24" t="s">
        <v>249</v>
      </c>
      <c r="C33" s="24"/>
      <c r="D33" s="24"/>
      <c r="E33" s="24"/>
      <c r="F33" s="24"/>
      <c r="G33" s="24"/>
      <c r="H33" s="24"/>
      <c r="I33" s="24"/>
      <c r="J33" s="24"/>
    </row>
    <row r="34" customFormat="false" ht="23.25" hidden="false" customHeight="true" outlineLevel="0" collapsed="false">
      <c r="B34" s="25" t="s">
        <v>93</v>
      </c>
      <c r="C34" s="25"/>
      <c r="D34" s="25" t="s">
        <v>250</v>
      </c>
      <c r="E34" s="81"/>
      <c r="F34" s="25" t="s">
        <v>251</v>
      </c>
      <c r="G34" s="81"/>
      <c r="H34" s="25" t="s">
        <v>63</v>
      </c>
      <c r="I34" s="81"/>
      <c r="J34" s="25" t="s">
        <v>120</v>
      </c>
    </row>
    <row r="35" customFormat="false" ht="15" hidden="false" customHeight="true" outlineLevel="0" collapsed="false">
      <c r="B35" s="11" t="s">
        <v>252</v>
      </c>
      <c r="C35" s="11"/>
      <c r="D35" s="82" t="n">
        <f aca="false">NF_Miete_Haus*Hauser_E1</f>
        <v>85366.8</v>
      </c>
      <c r="E35" s="82"/>
      <c r="F35" s="82" t="n">
        <f aca="false">NF_Miete_Haus*Hauser_E2*Miet_Faktor_E2</f>
        <v>87074.136</v>
      </c>
      <c r="G35" s="82"/>
      <c r="H35" s="83" t="n">
        <f aca="false">D35+F35</f>
        <v>172440.936</v>
      </c>
      <c r="I35" s="83"/>
      <c r="J35" s="84" t="s">
        <v>253</v>
      </c>
    </row>
    <row r="36" customFormat="false" ht="15" hidden="false" customHeight="true" outlineLevel="0" collapsed="false">
      <c r="B36" s="11" t="s">
        <v>254</v>
      </c>
      <c r="C36" s="11"/>
      <c r="D36" s="82" t="n">
        <f aca="false">Mietertrag_E1_Soll</f>
        <v>2054973.6</v>
      </c>
      <c r="E36" s="82"/>
      <c r="F36" s="82" t="n">
        <f aca="false">Mietertrag_E1_Soll/Hauser_E1*Hauser_E2*Miet_Faktor_E2</f>
        <v>2096073.072</v>
      </c>
      <c r="G36" s="82"/>
      <c r="H36" s="83" t="n">
        <f aca="false">Mietertrag_Total_Soll</f>
        <v>4151046.672</v>
      </c>
      <c r="I36" s="83"/>
      <c r="J36" s="84" t="s">
        <v>255</v>
      </c>
    </row>
    <row r="37" customFormat="false" ht="15" hidden="false" customHeight="true" outlineLevel="0" collapsed="false">
      <c r="B37" s="85" t="s">
        <v>256</v>
      </c>
      <c r="C37" s="85"/>
      <c r="D37" s="86" t="n">
        <f aca="false">D35+D36</f>
        <v>2140340.4</v>
      </c>
      <c r="E37" s="86"/>
      <c r="F37" s="86" t="n">
        <f aca="false">F35+F36</f>
        <v>2183147.208</v>
      </c>
      <c r="G37" s="86"/>
      <c r="H37" s="86" t="n">
        <f aca="false">H35+H36</f>
        <v>4323487.608</v>
      </c>
      <c r="I37" s="86"/>
      <c r="J37" s="84" t="s">
        <v>257</v>
      </c>
    </row>
    <row r="40" customFormat="false" ht="17.25" hidden="false" customHeight="true" outlineLevel="0" collapsed="false">
      <c r="B40" s="24" t="s">
        <v>258</v>
      </c>
      <c r="C40" s="24"/>
      <c r="D40" s="24"/>
      <c r="E40" s="24"/>
      <c r="F40" s="24"/>
      <c r="G40" s="24"/>
      <c r="H40" s="24"/>
      <c r="I40" s="24"/>
      <c r="J40" s="24"/>
    </row>
    <row r="41" customFormat="false" ht="15" hidden="false" customHeight="true" outlineLevel="0" collapsed="false">
      <c r="B41" s="25" t="s">
        <v>60</v>
      </c>
      <c r="C41" s="25"/>
      <c r="D41" s="25"/>
      <c r="E41" s="25" t="s">
        <v>259</v>
      </c>
      <c r="F41" s="25"/>
      <c r="G41" s="25" t="s">
        <v>260</v>
      </c>
      <c r="H41" s="25"/>
      <c r="I41" s="25" t="s">
        <v>261</v>
      </c>
      <c r="J41" s="25"/>
    </row>
    <row r="42" customFormat="false" ht="15" hidden="false" customHeight="true" outlineLevel="0" collapsed="false">
      <c r="B42" s="11" t="s">
        <v>45</v>
      </c>
      <c r="C42" s="11"/>
      <c r="D42" s="11"/>
      <c r="E42" s="87" t="n">
        <f aca="false">Mietertrag_E1_Soll</f>
        <v>2054973.6</v>
      </c>
      <c r="F42" s="87"/>
      <c r="G42" s="86" t="n">
        <f aca="false">Mietertrag_E1_Methabau</f>
        <v>2140340.4</v>
      </c>
      <c r="H42" s="86"/>
      <c r="I42" s="88" t="n">
        <f aca="false">G42-E42</f>
        <v>85366.8000000001</v>
      </c>
      <c r="J42" s="88"/>
    </row>
    <row r="43" customFormat="false" ht="15" hidden="false" customHeight="true" outlineLevel="0" collapsed="false">
      <c r="B43" s="11" t="s">
        <v>262</v>
      </c>
      <c r="C43" s="11"/>
      <c r="D43" s="11"/>
      <c r="E43" s="87" t="n">
        <f aca="false">Invest_E1</f>
        <v>37500000</v>
      </c>
      <c r="F43" s="87"/>
      <c r="G43" s="86" t="n">
        <f aca="false">Invest_E1</f>
        <v>37500000</v>
      </c>
      <c r="H43" s="86"/>
      <c r="I43" s="88" t="n">
        <f aca="false">G43-E43</f>
        <v>0</v>
      </c>
      <c r="J43" s="88"/>
    </row>
    <row r="44" customFormat="false" ht="15" hidden="false" customHeight="true" outlineLevel="0" collapsed="false">
      <c r="B44" s="11" t="s">
        <v>263</v>
      </c>
      <c r="C44" s="11"/>
      <c r="D44" s="11"/>
      <c r="E44" s="89" t="n">
        <f aca="false">Mietertrag_E1_Soll/Invest_E1</f>
        <v>0.054799296</v>
      </c>
      <c r="F44" s="89"/>
      <c r="G44" s="90" t="n">
        <f aca="false">Mietertrag_E1_Methabau/Invest_E1</f>
        <v>0.057075744</v>
      </c>
      <c r="H44" s="90"/>
      <c r="I44" s="91" t="n">
        <f aca="false">G44-E44</f>
        <v>0.002276448</v>
      </c>
      <c r="J44" s="91"/>
    </row>
    <row r="46" customFormat="false" ht="15" hidden="false" customHeight="true" outlineLevel="0" collapsed="false">
      <c r="B46" s="92" t="s">
        <v>264</v>
      </c>
      <c r="C46" s="92"/>
      <c r="D46" s="92"/>
      <c r="E46" s="92"/>
      <c r="F46" s="92"/>
      <c r="G46" s="92"/>
      <c r="H46" s="92"/>
      <c r="I46" s="92"/>
      <c r="J46" s="92"/>
    </row>
    <row r="47" customFormat="false" ht="15" hidden="false" customHeight="true" outlineLevel="0" collapsed="false">
      <c r="B47" s="92"/>
      <c r="C47" s="92"/>
      <c r="D47" s="92"/>
      <c r="E47" s="92"/>
      <c r="F47" s="92"/>
      <c r="G47" s="92"/>
      <c r="H47" s="92"/>
      <c r="I47" s="92"/>
      <c r="J47" s="92"/>
    </row>
    <row r="48" customFormat="false" ht="15" hidden="false" customHeight="true" outlineLevel="0" collapsed="false">
      <c r="B48" s="92"/>
      <c r="C48" s="92"/>
      <c r="D48" s="92"/>
      <c r="E48" s="92"/>
      <c r="F48" s="92"/>
      <c r="G48" s="92"/>
      <c r="H48" s="92"/>
      <c r="I48" s="92"/>
      <c r="J48" s="92"/>
    </row>
    <row r="49" customFormat="false" ht="15" hidden="false" customHeight="true" outlineLevel="0" collapsed="false">
      <c r="B49" s="92"/>
      <c r="C49" s="92"/>
      <c r="D49" s="92"/>
      <c r="E49" s="92"/>
      <c r="F49" s="92"/>
      <c r="G49" s="92"/>
      <c r="H49" s="92"/>
      <c r="I49" s="92"/>
      <c r="J49" s="92"/>
    </row>
    <row r="50" customFormat="false" ht="15" hidden="false" customHeight="true" outlineLevel="0" collapsed="false">
      <c r="B50" s="92"/>
      <c r="C50" s="92"/>
      <c r="D50" s="92"/>
      <c r="E50" s="92"/>
      <c r="F50" s="92"/>
      <c r="G50" s="92"/>
      <c r="H50" s="92"/>
      <c r="I50" s="92"/>
      <c r="J50" s="92"/>
    </row>
  </sheetData>
  <mergeCells count="82">
    <mergeCell ref="B2:J2"/>
    <mergeCell ref="B3:J3"/>
    <mergeCell ref="B5:J5"/>
    <mergeCell ref="C6:E6"/>
    <mergeCell ref="F6:H6"/>
    <mergeCell ref="C7:E7"/>
    <mergeCell ref="F7:H7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B15:J15"/>
    <mergeCell ref="E16:F16"/>
    <mergeCell ref="G16:J16"/>
    <mergeCell ref="E17:F17"/>
    <mergeCell ref="G17:J17"/>
    <mergeCell ref="E18:F18"/>
    <mergeCell ref="G18:J18"/>
    <mergeCell ref="E19:F19"/>
    <mergeCell ref="G19:J19"/>
    <mergeCell ref="E20:F20"/>
    <mergeCell ref="G20:J20"/>
    <mergeCell ref="E21:F21"/>
    <mergeCell ref="G21:J21"/>
    <mergeCell ref="B24:J24"/>
    <mergeCell ref="B25:C25"/>
    <mergeCell ref="G25:H25"/>
    <mergeCell ref="I25:J25"/>
    <mergeCell ref="B26:C26"/>
    <mergeCell ref="G26:H26"/>
    <mergeCell ref="I26:J26"/>
    <mergeCell ref="B27:C27"/>
    <mergeCell ref="G27:H27"/>
    <mergeCell ref="I27:J27"/>
    <mergeCell ref="B28:C28"/>
    <mergeCell ref="G28:H28"/>
    <mergeCell ref="I28:J28"/>
    <mergeCell ref="B29:C29"/>
    <mergeCell ref="G29:H29"/>
    <mergeCell ref="I29:J29"/>
    <mergeCell ref="B30:C30"/>
    <mergeCell ref="G30:H30"/>
    <mergeCell ref="I30:J30"/>
    <mergeCell ref="B31:C31"/>
    <mergeCell ref="B33:J33"/>
    <mergeCell ref="B34:C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B40:J40"/>
    <mergeCell ref="B41:D41"/>
    <mergeCell ref="E41:F41"/>
    <mergeCell ref="G41:H41"/>
    <mergeCell ref="I41:J41"/>
    <mergeCell ref="B42:D42"/>
    <mergeCell ref="E42:F42"/>
    <mergeCell ref="G42:H42"/>
    <mergeCell ref="I42:J42"/>
    <mergeCell ref="B43:D43"/>
    <mergeCell ref="E43:F43"/>
    <mergeCell ref="G43:H43"/>
    <mergeCell ref="I43:J43"/>
    <mergeCell ref="B44:D44"/>
    <mergeCell ref="E44:F44"/>
    <mergeCell ref="G44:H44"/>
    <mergeCell ref="I44:J44"/>
    <mergeCell ref="B46:J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9" min="3" style="1" width="14"/>
    <col collapsed="false" customWidth="true" hidden="false" outlineLevel="0" max="10" min="10" style="1" width="30"/>
    <col collapsed="false" customWidth="true" hidden="false" outlineLevel="0" max="11" min="11" style="1" width="3"/>
  </cols>
  <sheetData>
    <row r="2" customFormat="false" ht="21.75" hidden="false" customHeight="true" outlineLevel="0" collapsed="false">
      <c r="B2" s="35" t="s">
        <v>265</v>
      </c>
      <c r="C2" s="35"/>
      <c r="D2" s="35"/>
      <c r="E2" s="35"/>
      <c r="F2" s="35"/>
      <c r="G2" s="35"/>
      <c r="H2" s="35"/>
      <c r="I2" s="35"/>
      <c r="J2" s="35"/>
    </row>
    <row r="3" customFormat="false" ht="15" hidden="false" customHeight="true" outlineLevel="0" collapsed="false">
      <c r="B3" s="36" t="s">
        <v>266</v>
      </c>
      <c r="C3" s="36"/>
      <c r="D3" s="36"/>
      <c r="E3" s="36"/>
      <c r="F3" s="36"/>
      <c r="G3" s="36"/>
      <c r="H3" s="36"/>
      <c r="I3" s="36"/>
      <c r="J3" s="36"/>
    </row>
    <row r="5" customFormat="false" ht="17.25" hidden="false" customHeight="true" outlineLevel="0" collapsed="false">
      <c r="B5" s="24" t="s">
        <v>267</v>
      </c>
      <c r="C5" s="24"/>
      <c r="D5" s="24"/>
      <c r="E5" s="24"/>
      <c r="F5" s="24"/>
      <c r="G5" s="24"/>
      <c r="H5" s="24"/>
      <c r="I5" s="24"/>
      <c r="J5" s="24"/>
    </row>
    <row r="6" customFormat="false" ht="23.25" hidden="false" customHeight="true" outlineLevel="0" collapsed="false">
      <c r="B6" s="25" t="s">
        <v>268</v>
      </c>
      <c r="C6" s="25" t="s">
        <v>119</v>
      </c>
      <c r="D6" s="25" t="s">
        <v>69</v>
      </c>
      <c r="E6" s="25" t="s">
        <v>70</v>
      </c>
      <c r="F6" s="25" t="s">
        <v>71</v>
      </c>
      <c r="G6" s="25" t="s">
        <v>269</v>
      </c>
      <c r="H6" s="25" t="s">
        <v>270</v>
      </c>
      <c r="I6" s="25"/>
      <c r="J6" s="25" t="s">
        <v>120</v>
      </c>
    </row>
    <row r="7" customFormat="false" ht="15" hidden="false" customHeight="true" outlineLevel="0" collapsed="false">
      <c r="B7" s="5" t="s">
        <v>271</v>
      </c>
      <c r="C7" s="56" t="s">
        <v>272</v>
      </c>
      <c r="D7" s="62" t="n">
        <v>3600.37</v>
      </c>
      <c r="E7" s="62" t="n">
        <v>3600.37</v>
      </c>
      <c r="F7" s="62" t="n">
        <v>3600.37</v>
      </c>
      <c r="G7" s="79" t="n">
        <f aca="false">D7+E7+F7</f>
        <v>10801.11</v>
      </c>
      <c r="H7" s="62" t="n">
        <f aca="false">G7/3</f>
        <v>3600.37</v>
      </c>
      <c r="J7" s="84" t="s">
        <v>273</v>
      </c>
    </row>
    <row r="8" customFormat="false" ht="15" hidden="false" customHeight="true" outlineLevel="0" collapsed="false">
      <c r="B8" s="5" t="s">
        <v>274</v>
      </c>
      <c r="C8" s="56" t="s">
        <v>272</v>
      </c>
      <c r="D8" s="62" t="n">
        <v>1210.17</v>
      </c>
      <c r="E8" s="62" t="n">
        <v>1210.17</v>
      </c>
      <c r="F8" s="62" t="n">
        <v>1210.17</v>
      </c>
      <c r="G8" s="79" t="n">
        <f aca="false">D8+E8+F8</f>
        <v>3630.51</v>
      </c>
      <c r="H8" s="62" t="n">
        <f aca="false">G8/3</f>
        <v>1210.17</v>
      </c>
      <c r="J8" s="84" t="s">
        <v>275</v>
      </c>
    </row>
    <row r="9" customFormat="false" ht="15" hidden="false" customHeight="true" outlineLevel="0" collapsed="false">
      <c r="B9" s="5" t="s">
        <v>276</v>
      </c>
      <c r="C9" s="56" t="s">
        <v>272</v>
      </c>
      <c r="D9" s="62" t="n">
        <v>1568.46</v>
      </c>
      <c r="E9" s="62" t="n">
        <v>1568.46</v>
      </c>
      <c r="F9" s="62" t="n">
        <v>1568.46</v>
      </c>
      <c r="G9" s="79" t="n">
        <f aca="false">D9+E9+F9</f>
        <v>4705.38</v>
      </c>
      <c r="H9" s="62" t="n">
        <f aca="false">G9/3</f>
        <v>1568.46</v>
      </c>
      <c r="J9" s="84" t="s">
        <v>277</v>
      </c>
    </row>
    <row r="10" customFormat="false" ht="15" hidden="false" customHeight="true" outlineLevel="0" collapsed="false">
      <c r="B10" s="5" t="s">
        <v>278</v>
      </c>
      <c r="C10" s="56" t="s">
        <v>279</v>
      </c>
      <c r="D10" s="62" t="n">
        <v>13061.22</v>
      </c>
      <c r="E10" s="62" t="n">
        <v>13061.22</v>
      </c>
      <c r="F10" s="62" t="n">
        <v>13061.22</v>
      </c>
      <c r="G10" s="79" t="n">
        <f aca="false">D10+E10+F10</f>
        <v>39183.66</v>
      </c>
      <c r="H10" s="62" t="n">
        <f aca="false">G10/3</f>
        <v>13061.22</v>
      </c>
      <c r="J10" s="84" t="s">
        <v>280</v>
      </c>
    </row>
    <row r="11" customFormat="false" ht="15" hidden="false" customHeight="true" outlineLevel="0" collapsed="false">
      <c r="B11" s="5" t="s">
        <v>281</v>
      </c>
      <c r="C11" s="56" t="s">
        <v>279</v>
      </c>
      <c r="D11" s="62" t="n">
        <v>4594.31</v>
      </c>
      <c r="E11" s="62" t="n">
        <v>4594.31</v>
      </c>
      <c r="F11" s="62" t="n">
        <v>4594.31</v>
      </c>
      <c r="G11" s="79" t="n">
        <f aca="false">D11+E11+F11</f>
        <v>13782.93</v>
      </c>
      <c r="H11" s="62" t="n">
        <f aca="false">G11/3</f>
        <v>4594.31</v>
      </c>
      <c r="J11" s="84" t="s">
        <v>282</v>
      </c>
    </row>
    <row r="12" customFormat="false" ht="15" hidden="false" customHeight="true" outlineLevel="0" collapsed="false">
      <c r="B12" s="5" t="s">
        <v>283</v>
      </c>
      <c r="C12" s="56" t="s">
        <v>279</v>
      </c>
      <c r="D12" s="62" t="n">
        <v>17655.53</v>
      </c>
      <c r="E12" s="62" t="n">
        <v>17655.53</v>
      </c>
      <c r="F12" s="62" t="n">
        <v>17655.53</v>
      </c>
      <c r="G12" s="79" t="n">
        <f aca="false">D12+E12+F12</f>
        <v>52966.59</v>
      </c>
      <c r="H12" s="62" t="n">
        <f aca="false">G12/3</f>
        <v>17655.53</v>
      </c>
      <c r="J12" s="84" t="s">
        <v>284</v>
      </c>
    </row>
    <row r="13" customFormat="false" ht="15" hidden="false" customHeight="true" outlineLevel="0" collapsed="false">
      <c r="B13" s="5" t="s">
        <v>285</v>
      </c>
      <c r="C13" s="56" t="s">
        <v>272</v>
      </c>
      <c r="D13" s="62" t="n">
        <v>73.63</v>
      </c>
      <c r="E13" s="62" t="n">
        <v>73.63</v>
      </c>
      <c r="F13" s="62" t="n">
        <v>73.63</v>
      </c>
      <c r="G13" s="79" t="n">
        <f aca="false">D13+E13+F13</f>
        <v>220.89</v>
      </c>
      <c r="H13" s="62" t="n">
        <f aca="false">G13/3</f>
        <v>73.63</v>
      </c>
      <c r="J13" s="84" t="s">
        <v>286</v>
      </c>
    </row>
    <row r="14" customFormat="false" ht="15" hidden="false" customHeight="true" outlineLevel="0" collapsed="false">
      <c r="B14" s="5" t="s">
        <v>287</v>
      </c>
      <c r="C14" s="56" t="s">
        <v>272</v>
      </c>
      <c r="D14" s="62" t="n">
        <v>2306.7</v>
      </c>
      <c r="E14" s="62" t="n">
        <v>2306.7</v>
      </c>
      <c r="F14" s="62" t="n">
        <v>2438.42</v>
      </c>
      <c r="G14" s="79" t="n">
        <f aca="false">D14+E14+F14</f>
        <v>7051.82</v>
      </c>
      <c r="H14" s="62" t="n">
        <f aca="false">G14/3</f>
        <v>2350.60666666667</v>
      </c>
      <c r="J14" s="84" t="s">
        <v>288</v>
      </c>
    </row>
    <row r="15" customFormat="false" ht="15" hidden="false" customHeight="true" outlineLevel="0" collapsed="false">
      <c r="B15" s="5" t="s">
        <v>289</v>
      </c>
      <c r="C15" s="56" t="s">
        <v>272</v>
      </c>
      <c r="D15" s="62" t="n">
        <v>2603.78</v>
      </c>
      <c r="E15" s="62" t="n">
        <v>2603.78</v>
      </c>
      <c r="F15" s="62" t="n">
        <v>2661.9</v>
      </c>
      <c r="G15" s="79" t="n">
        <f aca="false">D15+E15+F15</f>
        <v>7869.46</v>
      </c>
      <c r="H15" s="62" t="n">
        <f aca="false">G15/3</f>
        <v>2623.15333333333</v>
      </c>
      <c r="J15" s="84" t="s">
        <v>290</v>
      </c>
    </row>
    <row r="16" customFormat="false" ht="15" hidden="false" customHeight="true" outlineLevel="0" collapsed="false">
      <c r="B16" s="5" t="s">
        <v>291</v>
      </c>
      <c r="C16" s="56" t="s">
        <v>292</v>
      </c>
      <c r="D16" s="61" t="n">
        <v>4</v>
      </c>
      <c r="E16" s="61" t="n">
        <v>4</v>
      </c>
      <c r="F16" s="61" t="n">
        <v>4</v>
      </c>
      <c r="G16" s="93" t="n">
        <f aca="false">D16+E16+F16</f>
        <v>12</v>
      </c>
      <c r="H16" s="61" t="n">
        <f aca="false">G16/3</f>
        <v>4</v>
      </c>
      <c r="J16" s="84" t="s">
        <v>293</v>
      </c>
    </row>
    <row r="17" customFormat="false" ht="15" hidden="false" customHeight="true" outlineLevel="0" collapsed="false">
      <c r="B17" s="5" t="s">
        <v>294</v>
      </c>
      <c r="C17" s="56" t="s">
        <v>292</v>
      </c>
      <c r="D17" s="61" t="n">
        <v>2</v>
      </c>
      <c r="E17" s="61" t="n">
        <v>2</v>
      </c>
      <c r="F17" s="61" t="n">
        <v>2</v>
      </c>
      <c r="G17" s="93" t="n">
        <f aca="false">D17+E17+F17</f>
        <v>6</v>
      </c>
      <c r="H17" s="61" t="n">
        <f aca="false">G17/3</f>
        <v>2</v>
      </c>
      <c r="J17" s="84" t="s">
        <v>295</v>
      </c>
    </row>
    <row r="20" customFormat="false" ht="17.25" hidden="false" customHeight="true" outlineLevel="0" collapsed="false">
      <c r="B20" s="24" t="s">
        <v>296</v>
      </c>
      <c r="C20" s="24"/>
      <c r="D20" s="24"/>
      <c r="E20" s="24"/>
      <c r="F20" s="24"/>
      <c r="G20" s="24"/>
      <c r="H20" s="24"/>
      <c r="I20" s="24"/>
      <c r="J20" s="24"/>
    </row>
    <row r="21" customFormat="false" ht="15" hidden="false" customHeight="true" outlineLevel="0" collapsed="false">
      <c r="B21" s="25" t="s">
        <v>68</v>
      </c>
      <c r="C21" s="25" t="s">
        <v>297</v>
      </c>
      <c r="D21" s="25"/>
      <c r="E21" s="25"/>
      <c r="F21" s="25" t="s">
        <v>236</v>
      </c>
      <c r="G21" s="25" t="s">
        <v>158</v>
      </c>
    </row>
    <row r="22" customFormat="false" ht="15" hidden="false" customHeight="true" outlineLevel="0" collapsed="false">
      <c r="B22" s="94" t="s">
        <v>298</v>
      </c>
      <c r="C22" s="11" t="s">
        <v>299</v>
      </c>
      <c r="D22" s="11"/>
      <c r="E22" s="11"/>
      <c r="F22" s="62" t="n">
        <v>7051.82</v>
      </c>
      <c r="G22" s="64" t="n">
        <f aca="false">F22/$F$27</f>
        <v>0.529835169871655</v>
      </c>
    </row>
    <row r="23" customFormat="false" ht="15" hidden="false" customHeight="true" outlineLevel="0" collapsed="false">
      <c r="B23" s="94" t="s">
        <v>300</v>
      </c>
      <c r="C23" s="11" t="s">
        <v>301</v>
      </c>
      <c r="D23" s="11"/>
      <c r="E23" s="11"/>
      <c r="F23" s="62" t="n">
        <v>1918.32</v>
      </c>
      <c r="G23" s="64" t="n">
        <f aca="false">F23/$F$27</f>
        <v>0.144132068468593</v>
      </c>
    </row>
    <row r="24" customFormat="false" ht="15" hidden="false" customHeight="true" outlineLevel="0" collapsed="false">
      <c r="B24" s="94" t="s">
        <v>302</v>
      </c>
      <c r="C24" s="11" t="s">
        <v>303</v>
      </c>
      <c r="D24" s="11"/>
      <c r="E24" s="11"/>
      <c r="F24" s="62" t="n">
        <v>2351.79</v>
      </c>
      <c r="G24" s="64" t="n">
        <f aca="false">F24/$F$27</f>
        <v>0.17670063248246</v>
      </c>
    </row>
    <row r="25" customFormat="false" ht="15" hidden="false" customHeight="true" outlineLevel="0" collapsed="false">
      <c r="B25" s="94" t="s">
        <v>304</v>
      </c>
      <c r="C25" s="11" t="s">
        <v>305</v>
      </c>
      <c r="D25" s="11"/>
      <c r="E25" s="11"/>
      <c r="F25" s="62" t="n">
        <v>92.7</v>
      </c>
      <c r="G25" s="64" t="n">
        <f aca="false">F25/$F$27</f>
        <v>0.00696497078018192</v>
      </c>
    </row>
    <row r="26" customFormat="false" ht="15" hidden="false" customHeight="true" outlineLevel="0" collapsed="false">
      <c r="B26" s="94" t="s">
        <v>306</v>
      </c>
      <c r="C26" s="11" t="s">
        <v>307</v>
      </c>
      <c r="D26" s="11"/>
      <c r="E26" s="11"/>
      <c r="F26" s="62" t="n">
        <v>1894.83</v>
      </c>
      <c r="G26" s="64" t="n">
        <f aca="false">F26/$F$27</f>
        <v>0.14236715839711</v>
      </c>
    </row>
    <row r="27" customFormat="false" ht="15" hidden="false" customHeight="true" outlineLevel="0" collapsed="false">
      <c r="B27" s="95" t="s">
        <v>308</v>
      </c>
      <c r="C27" s="96"/>
      <c r="D27" s="96"/>
      <c r="E27" s="96"/>
      <c r="F27" s="79" t="n">
        <f aca="false">SUM(F22:F26)</f>
        <v>13309.46</v>
      </c>
      <c r="G27" s="97" t="n">
        <v>1</v>
      </c>
    </row>
  </sheetData>
  <mergeCells count="11">
    <mergeCell ref="B2:J2"/>
    <mergeCell ref="B3:J3"/>
    <mergeCell ref="B5:J5"/>
    <mergeCell ref="B20:J20"/>
    <mergeCell ref="C21:E21"/>
    <mergeCell ref="C22:E22"/>
    <mergeCell ref="C23:E23"/>
    <mergeCell ref="C24:E24"/>
    <mergeCell ref="C25:E25"/>
    <mergeCell ref="C26:E26"/>
    <mergeCell ref="C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36"/>
    <col collapsed="false" customWidth="true" hidden="false" outlineLevel="0" max="6" min="4" style="1" width="18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9" min="9" style="1" width="3"/>
  </cols>
  <sheetData>
    <row r="2" customFormat="false" ht="21.75" hidden="false" customHeight="true" outlineLevel="0" collapsed="false">
      <c r="B2" s="35" t="s">
        <v>309</v>
      </c>
      <c r="C2" s="35"/>
      <c r="D2" s="35"/>
      <c r="E2" s="35"/>
      <c r="F2" s="35"/>
      <c r="G2" s="35"/>
      <c r="H2" s="35"/>
    </row>
    <row r="3" customFormat="false" ht="15" hidden="false" customHeight="true" outlineLevel="0" collapsed="false">
      <c r="B3" s="36" t="s">
        <v>310</v>
      </c>
      <c r="C3" s="36"/>
      <c r="D3" s="36"/>
      <c r="E3" s="36"/>
      <c r="F3" s="36"/>
      <c r="G3" s="36"/>
      <c r="H3" s="36"/>
    </row>
    <row r="5" customFormat="false" ht="17.25" hidden="false" customHeight="true" outlineLevel="0" collapsed="false">
      <c r="B5" s="24" t="s">
        <v>311</v>
      </c>
      <c r="C5" s="24"/>
      <c r="D5" s="24"/>
      <c r="E5" s="24"/>
      <c r="F5" s="24"/>
      <c r="G5" s="24"/>
      <c r="H5" s="24"/>
    </row>
    <row r="6" customFormat="false" ht="15" hidden="false" customHeight="true" outlineLevel="0" collapsed="false">
      <c r="B6" s="25" t="s">
        <v>312</v>
      </c>
      <c r="C6" s="25" t="s">
        <v>313</v>
      </c>
      <c r="D6" s="25" t="s">
        <v>61</v>
      </c>
      <c r="E6" s="25" t="s">
        <v>62</v>
      </c>
      <c r="F6" s="25" t="s">
        <v>308</v>
      </c>
      <c r="G6" s="25" t="s">
        <v>158</v>
      </c>
      <c r="H6" s="25" t="s">
        <v>120</v>
      </c>
    </row>
    <row r="7" customFormat="false" ht="15" hidden="false" customHeight="true" outlineLevel="0" collapsed="false">
      <c r="B7" s="94" t="s">
        <v>314</v>
      </c>
      <c r="C7" s="5" t="s">
        <v>315</v>
      </c>
      <c r="D7" s="98" t="n">
        <v>7500000</v>
      </c>
      <c r="E7" s="98" t="n">
        <v>7500000</v>
      </c>
      <c r="F7" s="27" t="n">
        <f aca="false">D7+E7</f>
        <v>15000000</v>
      </c>
      <c r="G7" s="64" t="n">
        <f aca="false">F7/$F$17</f>
        <v>0.2</v>
      </c>
      <c r="H7" s="84" t="s">
        <v>316</v>
      </c>
    </row>
    <row r="8" customFormat="false" ht="15" hidden="false" customHeight="true" outlineLevel="0" collapsed="false">
      <c r="B8" s="94" t="s">
        <v>317</v>
      </c>
      <c r="C8" s="5" t="s">
        <v>318</v>
      </c>
      <c r="D8" s="98" t="n">
        <v>3750000</v>
      </c>
      <c r="E8" s="98" t="n">
        <v>3750000</v>
      </c>
      <c r="F8" s="27" t="n">
        <f aca="false">D8+E8</f>
        <v>7500000</v>
      </c>
      <c r="G8" s="64" t="n">
        <f aca="false">F8/$F$17</f>
        <v>0.1</v>
      </c>
      <c r="H8" s="84" t="s">
        <v>319</v>
      </c>
    </row>
    <row r="9" customFormat="false" ht="15" hidden="false" customHeight="true" outlineLevel="0" collapsed="false">
      <c r="B9" s="94" t="s">
        <v>320</v>
      </c>
      <c r="C9" s="5" t="s">
        <v>321</v>
      </c>
      <c r="D9" s="98" t="n">
        <v>22800000</v>
      </c>
      <c r="E9" s="98" t="n">
        <v>22800000</v>
      </c>
      <c r="F9" s="27" t="n">
        <f aca="false">D9+E9</f>
        <v>45600000</v>
      </c>
      <c r="G9" s="64" t="n">
        <f aca="false">F9/$F$17</f>
        <v>0.608</v>
      </c>
      <c r="H9" s="84" t="s">
        <v>322</v>
      </c>
    </row>
    <row r="10" customFormat="false" ht="15" hidden="false" customHeight="true" outlineLevel="0" collapsed="false">
      <c r="B10" s="94" t="s">
        <v>323</v>
      </c>
      <c r="C10" s="5" t="s">
        <v>324</v>
      </c>
      <c r="D10" s="98" t="n">
        <v>350000</v>
      </c>
      <c r="E10" s="98" t="n">
        <v>350000</v>
      </c>
      <c r="F10" s="27" t="n">
        <f aca="false">D10+E10</f>
        <v>700000</v>
      </c>
      <c r="G10" s="64" t="n">
        <f aca="false">F10/$F$17</f>
        <v>0.00933333333333333</v>
      </c>
      <c r="H10" s="84"/>
    </row>
    <row r="11" customFormat="false" ht="15" hidden="false" customHeight="true" outlineLevel="0" collapsed="false">
      <c r="B11" s="94" t="s">
        <v>325</v>
      </c>
      <c r="C11" s="5" t="s">
        <v>326</v>
      </c>
      <c r="D11" s="98" t="n">
        <v>0</v>
      </c>
      <c r="E11" s="98" t="n">
        <v>0</v>
      </c>
      <c r="F11" s="27" t="n">
        <f aca="false">D11+E11</f>
        <v>0</v>
      </c>
      <c r="G11" s="64" t="n">
        <f aca="false">F11/$F$17</f>
        <v>0</v>
      </c>
      <c r="H11" s="84" t="s">
        <v>327</v>
      </c>
    </row>
    <row r="12" customFormat="false" ht="15" hidden="false" customHeight="true" outlineLevel="0" collapsed="false">
      <c r="B12" s="94" t="s">
        <v>328</v>
      </c>
      <c r="C12" s="5" t="s">
        <v>329</v>
      </c>
      <c r="D12" s="98" t="n">
        <v>1300000</v>
      </c>
      <c r="E12" s="98" t="n">
        <v>1300000</v>
      </c>
      <c r="F12" s="27" t="n">
        <f aca="false">D12+E12</f>
        <v>2600000</v>
      </c>
      <c r="G12" s="64" t="n">
        <f aca="false">F12/$F$17</f>
        <v>0.0346666666666667</v>
      </c>
      <c r="H12" s="84" t="s">
        <v>330</v>
      </c>
    </row>
    <row r="13" customFormat="false" ht="15" hidden="false" customHeight="true" outlineLevel="0" collapsed="false">
      <c r="B13" s="94" t="s">
        <v>331</v>
      </c>
      <c r="C13" s="5" t="s">
        <v>332</v>
      </c>
      <c r="D13" s="98" t="n">
        <v>0</v>
      </c>
      <c r="E13" s="98" t="n">
        <v>0</v>
      </c>
      <c r="F13" s="27" t="n">
        <f aca="false">D13+E13</f>
        <v>0</v>
      </c>
      <c r="G13" s="64" t="n">
        <f aca="false">F13/$F$17</f>
        <v>0</v>
      </c>
      <c r="H13" s="84" t="s">
        <v>333</v>
      </c>
    </row>
    <row r="14" customFormat="false" ht="15" hidden="false" customHeight="true" outlineLevel="0" collapsed="false">
      <c r="B14" s="94" t="s">
        <v>334</v>
      </c>
      <c r="C14" s="5" t="s">
        <v>335</v>
      </c>
      <c r="D14" s="98" t="n">
        <v>0</v>
      </c>
      <c r="E14" s="98" t="n">
        <v>0</v>
      </c>
      <c r="F14" s="27" t="n">
        <f aca="false">D14+E14</f>
        <v>0</v>
      </c>
      <c r="G14" s="64" t="n">
        <f aca="false">F14/$F$17</f>
        <v>0</v>
      </c>
      <c r="H14" s="84" t="s">
        <v>336</v>
      </c>
    </row>
    <row r="15" customFormat="false" ht="15" hidden="false" customHeight="true" outlineLevel="0" collapsed="false">
      <c r="B15" s="94" t="s">
        <v>337</v>
      </c>
      <c r="C15" s="5" t="s">
        <v>338</v>
      </c>
      <c r="D15" s="98" t="n">
        <v>460000</v>
      </c>
      <c r="E15" s="98" t="n">
        <v>460000</v>
      </c>
      <c r="F15" s="27" t="n">
        <f aca="false">D15+E15</f>
        <v>920000</v>
      </c>
      <c r="G15" s="64" t="n">
        <f aca="false">F15/$F$17</f>
        <v>0.0122666666666667</v>
      </c>
      <c r="H15" s="84" t="s">
        <v>339</v>
      </c>
    </row>
    <row r="16" customFormat="false" ht="15" hidden="false" customHeight="true" outlineLevel="0" collapsed="false">
      <c r="B16" s="94" t="s">
        <v>340</v>
      </c>
      <c r="C16" s="5" t="s">
        <v>341</v>
      </c>
      <c r="D16" s="98" t="n">
        <v>1340000</v>
      </c>
      <c r="E16" s="98" t="n">
        <v>1340000</v>
      </c>
      <c r="F16" s="27" t="n">
        <f aca="false">D16+E16</f>
        <v>2680000</v>
      </c>
      <c r="G16" s="64" t="n">
        <f aca="false">F16/$F$17</f>
        <v>0.0357333333333333</v>
      </c>
      <c r="H16" s="84" t="s">
        <v>342</v>
      </c>
    </row>
    <row r="17" customFormat="false" ht="15" hidden="false" customHeight="true" outlineLevel="0" collapsed="false">
      <c r="B17" s="80"/>
      <c r="C17" s="46" t="s">
        <v>343</v>
      </c>
      <c r="D17" s="99" t="n">
        <f aca="false">SUM(D7:D16)</f>
        <v>37500000</v>
      </c>
      <c r="E17" s="99" t="n">
        <f aca="false">SUM(E7:E16)</f>
        <v>37500000</v>
      </c>
      <c r="F17" s="99" t="n">
        <f aca="false">SUM(F7:F16)</f>
        <v>75000000</v>
      </c>
      <c r="G17" s="97" t="n">
        <v>1</v>
      </c>
      <c r="H17" s="80"/>
    </row>
    <row r="19" customFormat="false" ht="17.25" hidden="false" customHeight="true" outlineLevel="0" collapsed="false">
      <c r="B19" s="24" t="s">
        <v>344</v>
      </c>
      <c r="C19" s="24"/>
      <c r="D19" s="24"/>
      <c r="E19" s="24"/>
      <c r="F19" s="24"/>
      <c r="G19" s="24"/>
      <c r="H19" s="24"/>
    </row>
    <row r="20" customFormat="false" ht="15" hidden="false" customHeight="true" outlineLevel="0" collapsed="false">
      <c r="B20" s="50" t="s">
        <v>100</v>
      </c>
      <c r="C20" s="50"/>
      <c r="D20" s="98" t="n">
        <v>14500000</v>
      </c>
      <c r="E20" s="98" t="n">
        <v>14500000</v>
      </c>
      <c r="F20" s="27" t="n">
        <f aca="false">D20+E20</f>
        <v>29000000</v>
      </c>
      <c r="H20" s="55" t="s">
        <v>345</v>
      </c>
    </row>
    <row r="21" customFormat="false" ht="15" hidden="false" customHeight="true" outlineLevel="0" collapsed="false">
      <c r="B21" s="50" t="s">
        <v>101</v>
      </c>
      <c r="C21" s="50"/>
      <c r="D21" s="98" t="n">
        <v>23000000</v>
      </c>
      <c r="E21" s="98" t="n">
        <v>23000000</v>
      </c>
      <c r="F21" s="27" t="n">
        <f aca="false">D21+E21</f>
        <v>46000000</v>
      </c>
      <c r="H21" s="55" t="s">
        <v>346</v>
      </c>
    </row>
    <row r="22" customFormat="false" ht="15" hidden="false" customHeight="true" outlineLevel="0" collapsed="false">
      <c r="B22" s="58" t="s">
        <v>347</v>
      </c>
      <c r="C22" s="58"/>
      <c r="D22" s="100" t="n">
        <f aca="false">D20/(D20+D21)</f>
        <v>0.386666666666667</v>
      </c>
      <c r="E22" s="100" t="n">
        <f aca="false">E20/(E20+E21)</f>
        <v>0.386666666666667</v>
      </c>
      <c r="F22" s="100" t="n">
        <f aca="false">F20/(F20+F21)</f>
        <v>0.386666666666667</v>
      </c>
    </row>
    <row r="25" customFormat="false" ht="17.35" hidden="false" customHeight="true" outlineLevel="0" collapsed="false">
      <c r="B25" s="24" t="s">
        <v>348</v>
      </c>
      <c r="C25" s="24"/>
      <c r="D25" s="24"/>
      <c r="E25" s="24"/>
      <c r="F25" s="24"/>
      <c r="G25" s="24"/>
      <c r="H25" s="24"/>
    </row>
    <row r="26" customFormat="false" ht="30" hidden="false" customHeight="true" outlineLevel="0" collapsed="false">
      <c r="B26" s="39" t="s">
        <v>349</v>
      </c>
      <c r="C26" s="39"/>
      <c r="D26" s="39"/>
      <c r="E26" s="39"/>
      <c r="F26" s="39"/>
      <c r="G26" s="39"/>
      <c r="H26" s="39"/>
    </row>
    <row r="28" customFormat="false" ht="15" hidden="false" customHeight="true" outlineLevel="0" collapsed="false">
      <c r="B28" s="25" t="s">
        <v>93</v>
      </c>
      <c r="C28" s="25"/>
      <c r="D28" s="25" t="s">
        <v>61</v>
      </c>
      <c r="E28" s="25" t="s">
        <v>62</v>
      </c>
      <c r="F28" s="25" t="s">
        <v>308</v>
      </c>
      <c r="G28" s="101"/>
      <c r="H28" s="25" t="s">
        <v>120</v>
      </c>
    </row>
    <row r="29" customFormat="false" ht="15" hidden="false" customHeight="true" outlineLevel="0" collapsed="false">
      <c r="B29" s="50" t="s">
        <v>350</v>
      </c>
      <c r="C29" s="50"/>
      <c r="D29" s="102" t="n">
        <v>0.8</v>
      </c>
      <c r="H29" s="103" t="s">
        <v>351</v>
      </c>
    </row>
    <row r="31" customFormat="false" ht="15" hidden="false" customHeight="true" outlineLevel="0" collapsed="false">
      <c r="B31" s="11" t="s">
        <v>352</v>
      </c>
      <c r="C31" s="11"/>
      <c r="D31" s="104" t="n">
        <f aca="false">'05 Kostenschätzung'!$D$7</f>
        <v>7500000</v>
      </c>
      <c r="E31" s="104" t="n">
        <f aca="false">'05 Kostenschätzung'!$E$7</f>
        <v>7500000</v>
      </c>
      <c r="F31" s="105" t="n">
        <f aca="false">D31+E31</f>
        <v>15000000</v>
      </c>
    </row>
    <row r="32" customFormat="false" ht="15" hidden="false" customHeight="true" outlineLevel="0" collapsed="false">
      <c r="B32" s="11" t="s">
        <v>353</v>
      </c>
      <c r="C32" s="11"/>
      <c r="D32" s="104" t="n">
        <f aca="false">'05 Kostenschätzung'!$D$8</f>
        <v>3750000</v>
      </c>
      <c r="E32" s="104" t="n">
        <f aca="false">'05 Kostenschätzung'!$E$8</f>
        <v>3750000</v>
      </c>
      <c r="F32" s="105" t="n">
        <f aca="false">D32+E32</f>
        <v>7500000</v>
      </c>
    </row>
    <row r="33" customFormat="false" ht="15" hidden="false" customHeight="true" outlineLevel="0" collapsed="false">
      <c r="B33" s="106" t="s">
        <v>354</v>
      </c>
      <c r="C33" s="106"/>
      <c r="D33" s="107" t="n">
        <f aca="false">D32*Landwert_Quote</f>
        <v>3000000</v>
      </c>
      <c r="E33" s="107" t="n">
        <f aca="false">E32*Landwert_Quote</f>
        <v>3000000</v>
      </c>
      <c r="F33" s="107" t="n">
        <f aca="false">D33+E33</f>
        <v>6000000</v>
      </c>
    </row>
    <row r="34" customFormat="false" ht="15" hidden="false" customHeight="true" outlineLevel="0" collapsed="false">
      <c r="B34" s="106" t="s">
        <v>355</v>
      </c>
      <c r="C34" s="106"/>
      <c r="D34" s="108" t="n">
        <f aca="false">D31+D33</f>
        <v>10500000</v>
      </c>
      <c r="E34" s="108" t="n">
        <f aca="false">E31+E33</f>
        <v>10500000</v>
      </c>
      <c r="F34" s="108" t="n">
        <f aca="false">D34+E34</f>
        <v>21000000</v>
      </c>
    </row>
    <row r="35" customFormat="false" ht="15" hidden="false" customHeight="true" outlineLevel="0" collapsed="false">
      <c r="B35" s="106" t="s">
        <v>356</v>
      </c>
      <c r="C35" s="106"/>
      <c r="D35" s="108" t="n">
        <f aca="false">D32-D33</f>
        <v>750000</v>
      </c>
      <c r="E35" s="108" t="n">
        <f aca="false">E32-E33</f>
        <v>750000</v>
      </c>
      <c r="F35" s="108" t="n">
        <f aca="false">D35+E35</f>
        <v>1500000</v>
      </c>
    </row>
    <row r="37" customFormat="false" ht="15" hidden="false" customHeight="true" outlineLevel="0" collapsed="false">
      <c r="B37" s="109" t="s">
        <v>357</v>
      </c>
      <c r="C37" s="109"/>
      <c r="D37" s="110" t="n">
        <f aca="false">Landwert_eff_E1/GS_E1</f>
        <v>923.457671778518</v>
      </c>
      <c r="E37" s="110" t="n">
        <f aca="false">Landwert_eff_E2/GS_E2</f>
        <v>780.049744886588</v>
      </c>
      <c r="F37" s="110" t="n">
        <f aca="false">Landwert_eff_Total/GS_Total</f>
        <v>845.717387828677</v>
      </c>
      <c r="H37" s="103" t="s">
        <v>358</v>
      </c>
    </row>
  </sheetData>
  <mergeCells count="17">
    <mergeCell ref="B2:H2"/>
    <mergeCell ref="B3:H3"/>
    <mergeCell ref="B5:H5"/>
    <mergeCell ref="B19:H19"/>
    <mergeCell ref="B20:C20"/>
    <mergeCell ref="B21:C21"/>
    <mergeCell ref="B22:C22"/>
    <mergeCell ref="B25:H25"/>
    <mergeCell ref="B26:H26"/>
    <mergeCell ref="B28:C28"/>
    <mergeCell ref="B29:C29"/>
    <mergeCell ref="B31:C31"/>
    <mergeCell ref="B32:C32"/>
    <mergeCell ref="B33:C33"/>
    <mergeCell ref="B34:C34"/>
    <mergeCell ref="B35:C35"/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6" min="4" style="1" width="18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9" min="9" style="1" width="3"/>
  </cols>
  <sheetData>
    <row r="2" customFormat="false" ht="21.75" hidden="false" customHeight="true" outlineLevel="0" collapsed="false">
      <c r="B2" s="35" t="s">
        <v>359</v>
      </c>
      <c r="C2" s="35"/>
      <c r="D2" s="35"/>
      <c r="E2" s="35"/>
      <c r="F2" s="35"/>
      <c r="G2" s="35"/>
      <c r="H2" s="35"/>
    </row>
    <row r="3" customFormat="false" ht="15" hidden="false" customHeight="true" outlineLevel="0" collapsed="false">
      <c r="B3" s="36" t="s">
        <v>360</v>
      </c>
      <c r="C3" s="36"/>
      <c r="D3" s="36"/>
      <c r="E3" s="36"/>
      <c r="F3" s="36"/>
      <c r="G3" s="36"/>
      <c r="H3" s="36"/>
    </row>
    <row r="5" customFormat="false" ht="17.25" hidden="false" customHeight="true" outlineLevel="0" collapsed="false">
      <c r="B5" s="24" t="s">
        <v>361</v>
      </c>
      <c r="C5" s="24"/>
      <c r="D5" s="24"/>
      <c r="E5" s="24"/>
      <c r="F5" s="24"/>
      <c r="G5" s="24"/>
      <c r="H5" s="24"/>
    </row>
    <row r="6" customFormat="false" ht="15" hidden="false" customHeight="true" outlineLevel="0" collapsed="false">
      <c r="B6" s="50" t="s">
        <v>362</v>
      </c>
      <c r="C6" s="50"/>
      <c r="D6" s="50"/>
      <c r="E6" s="111" t="n">
        <v>3</v>
      </c>
      <c r="G6" s="39" t="s">
        <v>363</v>
      </c>
      <c r="H6" s="39"/>
    </row>
    <row r="7" customFormat="false" ht="15" hidden="false" customHeight="true" outlineLevel="0" collapsed="false">
      <c r="B7" s="50" t="s">
        <v>364</v>
      </c>
      <c r="C7" s="50"/>
      <c r="D7" s="50"/>
      <c r="E7" s="111" t="n">
        <v>3</v>
      </c>
      <c r="G7" s="39" t="s">
        <v>365</v>
      </c>
      <c r="H7" s="39"/>
    </row>
    <row r="8" customFormat="false" ht="15" hidden="false" customHeight="true" outlineLevel="0" collapsed="false">
      <c r="B8" s="50" t="s">
        <v>366</v>
      </c>
      <c r="C8" s="50"/>
      <c r="D8" s="50"/>
      <c r="E8" s="59" t="n">
        <v>1.04</v>
      </c>
      <c r="G8" s="39" t="s">
        <v>367</v>
      </c>
      <c r="H8" s="39"/>
    </row>
    <row r="9" customFormat="false" ht="15" hidden="false" customHeight="true" outlineLevel="0" collapsed="false">
      <c r="B9" s="50" t="s">
        <v>368</v>
      </c>
      <c r="C9" s="50"/>
      <c r="D9" s="50"/>
      <c r="E9" s="59" t="n">
        <v>1.02</v>
      </c>
      <c r="G9" s="39" t="s">
        <v>369</v>
      </c>
      <c r="H9" s="39"/>
    </row>
    <row r="10" customFormat="false" ht="15" hidden="false" customHeight="true" outlineLevel="0" collapsed="false">
      <c r="B10" s="50" t="s">
        <v>370</v>
      </c>
      <c r="C10" s="50"/>
      <c r="D10" s="50"/>
      <c r="E10" s="59" t="n">
        <v>0.1</v>
      </c>
      <c r="G10" s="39" t="s">
        <v>371</v>
      </c>
      <c r="H10" s="39"/>
    </row>
    <row r="13" customFormat="false" ht="17.25" hidden="false" customHeight="true" outlineLevel="0" collapsed="false">
      <c r="B13" s="24" t="s">
        <v>372</v>
      </c>
      <c r="C13" s="24"/>
      <c r="D13" s="24"/>
      <c r="E13" s="24"/>
      <c r="F13" s="24"/>
      <c r="G13" s="24"/>
      <c r="H13" s="24"/>
    </row>
    <row r="14" customFormat="false" ht="15" hidden="false" customHeight="true" outlineLevel="0" collapsed="false">
      <c r="B14" s="25" t="s">
        <v>60</v>
      </c>
      <c r="C14" s="25" t="s">
        <v>119</v>
      </c>
      <c r="D14" s="25" t="s">
        <v>61</v>
      </c>
      <c r="E14" s="25" t="s">
        <v>62</v>
      </c>
      <c r="F14" s="25" t="s">
        <v>63</v>
      </c>
      <c r="G14" s="25"/>
      <c r="H14" s="25" t="s">
        <v>120</v>
      </c>
    </row>
    <row r="15" customFormat="false" ht="15" hidden="false" customHeight="true" outlineLevel="0" collapsed="false">
      <c r="B15" s="5" t="s">
        <v>373</v>
      </c>
      <c r="C15" s="56" t="s">
        <v>292</v>
      </c>
      <c r="D15" s="112" t="n">
        <f aca="false">Hauser_E1</f>
        <v>3</v>
      </c>
      <c r="E15" s="113" t="n">
        <f aca="false">Hauser_E2</f>
        <v>3</v>
      </c>
      <c r="F15" s="114" t="n">
        <f aca="false">D15+E15</f>
        <v>6</v>
      </c>
      <c r="H15" s="55"/>
    </row>
    <row r="16" customFormat="false" ht="15" hidden="false" customHeight="true" outlineLevel="0" collapsed="false">
      <c r="B16" s="5" t="s">
        <v>374</v>
      </c>
      <c r="C16" s="56" t="s">
        <v>279</v>
      </c>
      <c r="D16" s="115" t="n">
        <f aca="false">GV_E1_Total</f>
        <v>52966.59</v>
      </c>
      <c r="E16" s="116" t="n">
        <f aca="false">GV_E1_Total/Hauser_E1*Hauser_E2</f>
        <v>52966.59</v>
      </c>
      <c r="F16" s="117" t="n">
        <f aca="false">D16+E16</f>
        <v>105933.18</v>
      </c>
      <c r="H16" s="55" t="s">
        <v>375</v>
      </c>
    </row>
    <row r="17" customFormat="false" ht="15" hidden="false" customHeight="true" outlineLevel="0" collapsed="false">
      <c r="B17" s="5" t="s">
        <v>376</v>
      </c>
      <c r="C17" s="56" t="s">
        <v>272</v>
      </c>
      <c r="D17" s="115" t="n">
        <f aca="false">GF_E1_Total</f>
        <v>4705.38</v>
      </c>
      <c r="E17" s="116" t="n">
        <f aca="false">GF_E1_Total/Hauser_E1*Hauser_E2</f>
        <v>4705.38</v>
      </c>
      <c r="F17" s="117" t="n">
        <f aca="false">D17+E17</f>
        <v>9410.76</v>
      </c>
      <c r="H17" s="55"/>
    </row>
    <row r="18" customFormat="false" ht="15" hidden="false" customHeight="true" outlineLevel="0" collapsed="false">
      <c r="B18" s="5" t="s">
        <v>377</v>
      </c>
      <c r="C18" s="56" t="s">
        <v>272</v>
      </c>
      <c r="D18" s="115" t="n">
        <f aca="false">HNF_E1_Total</f>
        <v>7051.82</v>
      </c>
      <c r="E18" s="116" t="n">
        <f aca="false">HNF_E1_Total/Hauser_E1*Hauser_E2</f>
        <v>7051.82</v>
      </c>
      <c r="F18" s="117" t="n">
        <f aca="false">D18+E18</f>
        <v>14103.64</v>
      </c>
      <c r="H18" s="55"/>
    </row>
    <row r="19" customFormat="false" ht="15" hidden="false" customHeight="true" outlineLevel="0" collapsed="false">
      <c r="B19" s="5" t="s">
        <v>45</v>
      </c>
      <c r="C19" s="56" t="s">
        <v>378</v>
      </c>
      <c r="D19" s="26" t="n">
        <f aca="false">Mietertrag_E1_Soll</f>
        <v>2054973.6</v>
      </c>
      <c r="E19" s="43" t="n">
        <f aca="false">Mietertrag_E1_Soll/Hauser_E1*Hauser_E2*Miet_Faktor_E2</f>
        <v>2096073.072</v>
      </c>
      <c r="F19" s="27" t="n">
        <f aca="false">D19+E19</f>
        <v>4151046.672</v>
      </c>
      <c r="H19" s="55" t="s">
        <v>379</v>
      </c>
    </row>
    <row r="20" customFormat="false" ht="15" hidden="false" customHeight="true" outlineLevel="0" collapsed="false">
      <c r="B20" s="5" t="s">
        <v>49</v>
      </c>
      <c r="C20" s="56" t="s">
        <v>378</v>
      </c>
      <c r="D20" s="26" t="n">
        <f aca="false">Mietertrag_E1_eff</f>
        <v>1952224.92</v>
      </c>
      <c r="E20" s="43" t="n">
        <f aca="false">Mietertrag_E1_Soll/Hauser_E1*Hauser_E2*Miet_Faktor_E2*(1-Leerstand_E2)</f>
        <v>1886465.7648</v>
      </c>
      <c r="F20" s="27" t="n">
        <f aca="false">D20+E20</f>
        <v>3838690.6848</v>
      </c>
      <c r="H20" s="55" t="s">
        <v>380</v>
      </c>
    </row>
    <row r="21" customFormat="false" ht="15" hidden="false" customHeight="true" outlineLevel="0" collapsed="false">
      <c r="B21" s="5" t="s">
        <v>381</v>
      </c>
      <c r="C21" s="56" t="s">
        <v>378</v>
      </c>
      <c r="D21" s="26" t="n">
        <f aca="false">Invest_E1</f>
        <v>37500000</v>
      </c>
      <c r="E21" s="43" t="n">
        <f aca="false">Invest_E1/Hauser_E1*Hauser_E2*BK_Faktor_E2</f>
        <v>39000000</v>
      </c>
      <c r="F21" s="27" t="n">
        <f aca="false">D21+E21</f>
        <v>76500000</v>
      </c>
      <c r="H21" s="55" t="s">
        <v>379</v>
      </c>
    </row>
  </sheetData>
  <mergeCells count="14">
    <mergeCell ref="B2:H2"/>
    <mergeCell ref="B3:H3"/>
    <mergeCell ref="B5:H5"/>
    <mergeCell ref="B6:D6"/>
    <mergeCell ref="G6:H6"/>
    <mergeCell ref="B7:D7"/>
    <mergeCell ref="G7:H7"/>
    <mergeCell ref="B8:D8"/>
    <mergeCell ref="G8:H8"/>
    <mergeCell ref="B9:D9"/>
    <mergeCell ref="G9:H9"/>
    <mergeCell ref="B10:D10"/>
    <mergeCell ref="G10:H10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2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6" min="4" style="1" width="18"/>
    <col collapsed="false" customWidth="true" hidden="false" outlineLevel="0" max="7" min="7" style="1" width="30"/>
    <col collapsed="false" customWidth="true" hidden="false" outlineLevel="0" max="8" min="8" style="1" width="3"/>
  </cols>
  <sheetData>
    <row r="2" customFormat="false" ht="21.75" hidden="false" customHeight="true" outlineLevel="0" collapsed="false">
      <c r="B2" s="35" t="s">
        <v>382</v>
      </c>
      <c r="C2" s="35"/>
      <c r="D2" s="35"/>
      <c r="E2" s="35"/>
      <c r="F2" s="35"/>
      <c r="G2" s="35"/>
    </row>
    <row r="3" customFormat="false" ht="15" hidden="false" customHeight="true" outlineLevel="0" collapsed="false">
      <c r="B3" s="36" t="s">
        <v>383</v>
      </c>
      <c r="C3" s="36"/>
      <c r="D3" s="36"/>
      <c r="E3" s="36"/>
      <c r="F3" s="36"/>
      <c r="G3" s="36"/>
    </row>
    <row r="5" customFormat="false" ht="17.25" hidden="false" customHeight="true" outlineLevel="0" collapsed="false">
      <c r="B5" s="24" t="s">
        <v>384</v>
      </c>
      <c r="C5" s="24"/>
      <c r="D5" s="24"/>
      <c r="E5" s="24"/>
      <c r="F5" s="24"/>
      <c r="G5" s="24"/>
    </row>
    <row r="6" customFormat="false" ht="15" hidden="false" customHeight="true" outlineLevel="0" collapsed="false">
      <c r="B6" s="25" t="s">
        <v>93</v>
      </c>
      <c r="C6" s="25" t="s">
        <v>119</v>
      </c>
      <c r="D6" s="25" t="s">
        <v>61</v>
      </c>
      <c r="E6" s="25" t="s">
        <v>62</v>
      </c>
      <c r="F6" s="25" t="s">
        <v>308</v>
      </c>
      <c r="G6" s="25" t="s">
        <v>120</v>
      </c>
    </row>
    <row r="7" customFormat="false" ht="15" hidden="false" customHeight="true" outlineLevel="0" collapsed="false">
      <c r="B7" s="5" t="s">
        <v>385</v>
      </c>
      <c r="C7" s="56" t="s">
        <v>272</v>
      </c>
      <c r="D7" s="118" t="n">
        <v>6412.64</v>
      </c>
      <c r="E7" s="119"/>
      <c r="F7" s="79" t="n">
        <f aca="false">D7</f>
        <v>6412.64</v>
      </c>
      <c r="G7" s="84" t="s">
        <v>386</v>
      </c>
    </row>
    <row r="8" customFormat="false" ht="15" hidden="false" customHeight="true" outlineLevel="0" collapsed="false">
      <c r="B8" s="5" t="s">
        <v>387</v>
      </c>
      <c r="C8" s="56" t="s">
        <v>272</v>
      </c>
      <c r="D8" s="118" t="n">
        <v>4957.67</v>
      </c>
      <c r="E8" s="119"/>
      <c r="F8" s="79" t="n">
        <f aca="false">D8</f>
        <v>4957.67</v>
      </c>
      <c r="G8" s="84" t="s">
        <v>388</v>
      </c>
    </row>
    <row r="9" customFormat="false" ht="15" hidden="false" customHeight="true" outlineLevel="0" collapsed="false">
      <c r="B9" s="37" t="s">
        <v>389</v>
      </c>
      <c r="C9" s="56" t="s">
        <v>272</v>
      </c>
      <c r="D9" s="79" t="n">
        <f aca="false">D7+D8</f>
        <v>11370.31</v>
      </c>
      <c r="E9" s="119"/>
      <c r="F9" s="79" t="n">
        <f aca="false">D9+E9</f>
        <v>11370.31</v>
      </c>
      <c r="G9" s="84" t="s">
        <v>390</v>
      </c>
    </row>
    <row r="10" customFormat="false" ht="15" hidden="false" customHeight="true" outlineLevel="0" collapsed="false">
      <c r="B10" s="5" t="s">
        <v>391</v>
      </c>
      <c r="C10" s="56" t="s">
        <v>272</v>
      </c>
      <c r="D10" s="118" t="n">
        <v>2255.87</v>
      </c>
      <c r="E10" s="119"/>
      <c r="F10" s="79" t="n">
        <f aca="false">D10</f>
        <v>2255.87</v>
      </c>
      <c r="G10" s="84" t="s">
        <v>392</v>
      </c>
    </row>
    <row r="11" customFormat="false" ht="15" hidden="false" customHeight="true" outlineLevel="0" collapsed="false">
      <c r="B11" s="5" t="s">
        <v>393</v>
      </c>
      <c r="C11" s="56" t="s">
        <v>272</v>
      </c>
      <c r="D11" s="119"/>
      <c r="E11" s="118" t="n">
        <v>13460.68</v>
      </c>
      <c r="F11" s="79" t="n">
        <f aca="false">E11</f>
        <v>13460.68</v>
      </c>
      <c r="G11" s="84" t="s">
        <v>394</v>
      </c>
    </row>
    <row r="12" customFormat="false" ht="15" hidden="false" customHeight="true" outlineLevel="0" collapsed="false">
      <c r="B12" s="37" t="s">
        <v>395</v>
      </c>
      <c r="C12" s="56" t="s">
        <v>272</v>
      </c>
      <c r="D12" s="79" t="n">
        <f aca="false">D9</f>
        <v>11370.31</v>
      </c>
      <c r="E12" s="79" t="n">
        <f aca="false">E11</f>
        <v>13460.68</v>
      </c>
      <c r="F12" s="79" t="n">
        <f aca="false">D12+E12</f>
        <v>24830.99</v>
      </c>
      <c r="G12" s="84" t="s">
        <v>396</v>
      </c>
    </row>
    <row r="15" customFormat="false" ht="17.25" hidden="false" customHeight="true" outlineLevel="0" collapsed="false">
      <c r="B15" s="24" t="s">
        <v>397</v>
      </c>
      <c r="C15" s="24"/>
      <c r="D15" s="24"/>
      <c r="E15" s="24"/>
      <c r="F15" s="24"/>
      <c r="G15" s="24"/>
    </row>
    <row r="16" customFormat="false" ht="15" hidden="false" customHeight="true" outlineLevel="0" collapsed="false">
      <c r="B16" s="25" t="s">
        <v>93</v>
      </c>
      <c r="C16" s="25" t="s">
        <v>119</v>
      </c>
      <c r="D16" s="25" t="s">
        <v>61</v>
      </c>
      <c r="E16" s="25" t="s">
        <v>62</v>
      </c>
      <c r="F16" s="25" t="s">
        <v>308</v>
      </c>
      <c r="G16" s="25" t="s">
        <v>120</v>
      </c>
    </row>
    <row r="17" customFormat="false" ht="15" hidden="false" customHeight="true" outlineLevel="0" collapsed="false">
      <c r="B17" s="5" t="s">
        <v>398</v>
      </c>
      <c r="C17" s="56" t="s">
        <v>272</v>
      </c>
      <c r="D17" s="71" t="n">
        <f aca="false">GS_E1</f>
        <v>11370.31</v>
      </c>
      <c r="E17" s="71" t="n">
        <f aca="false">GS_E2</f>
        <v>13460.68</v>
      </c>
      <c r="F17" s="120" t="n">
        <f aca="false">GS_Total</f>
        <v>24830.99</v>
      </c>
      <c r="G17" s="55" t="s">
        <v>399</v>
      </c>
    </row>
    <row r="18" customFormat="false" ht="15" hidden="false" customHeight="true" outlineLevel="0" collapsed="false">
      <c r="B18" s="5" t="s">
        <v>400</v>
      </c>
      <c r="C18" s="56" t="s">
        <v>378</v>
      </c>
      <c r="D18" s="26" t="n">
        <f aca="false">VLOOKUP("BKP 0",'05 Kostenschätzung'!$B$7:$F$16,3,FALSE())</f>
        <v>7500000</v>
      </c>
      <c r="E18" s="26" t="n">
        <f aca="false">VLOOKUP("BKP 0",'05 Kostenschätzung'!$B$7:$F$16,4,FALSE())</f>
        <v>7500000</v>
      </c>
      <c r="F18" s="27" t="n">
        <f aca="false">D18+E18</f>
        <v>15000000</v>
      </c>
      <c r="G18" s="55" t="s">
        <v>401</v>
      </c>
    </row>
    <row r="19" customFormat="false" ht="15" hidden="false" customHeight="true" outlineLevel="0" collapsed="false">
      <c r="B19" s="47" t="s">
        <v>402</v>
      </c>
      <c r="C19" s="56" t="s">
        <v>403</v>
      </c>
      <c r="D19" s="121" t="n">
        <f aca="false">D18/D17</f>
        <v>659.612622698941</v>
      </c>
      <c r="E19" s="121" t="n">
        <f aca="false">E18/E17</f>
        <v>557.178389204706</v>
      </c>
      <c r="F19" s="121" t="n">
        <f aca="false">F18/F17</f>
        <v>604.083848449055</v>
      </c>
      <c r="G19" s="55" t="s">
        <v>404</v>
      </c>
    </row>
    <row r="20" customFormat="false" ht="15" hidden="false" customHeight="true" outlineLevel="0" collapsed="false">
      <c r="B20" s="37" t="s">
        <v>405</v>
      </c>
      <c r="C20" s="56" t="s">
        <v>403</v>
      </c>
      <c r="D20" s="57" t="n">
        <v>650</v>
      </c>
      <c r="E20" s="57" t="n">
        <v>700</v>
      </c>
      <c r="F20" s="122" t="n">
        <f aca="false">(D20*D17+E20*E17)/F17</f>
        <v>677.104597923804</v>
      </c>
      <c r="G20" s="55" t="s">
        <v>406</v>
      </c>
    </row>
    <row r="23" customFormat="false" ht="17.25" hidden="false" customHeight="true" outlineLevel="0" collapsed="false">
      <c r="B23" s="24" t="s">
        <v>407</v>
      </c>
      <c r="C23" s="24"/>
      <c r="D23" s="24"/>
      <c r="E23" s="24"/>
      <c r="F23" s="24"/>
      <c r="G23" s="24"/>
    </row>
    <row r="24" customFormat="false" ht="15" hidden="false" customHeight="true" outlineLevel="0" collapsed="false">
      <c r="B24" s="5" t="s">
        <v>408</v>
      </c>
      <c r="C24" s="56" t="s">
        <v>409</v>
      </c>
      <c r="D24" s="76" t="n">
        <v>0.8</v>
      </c>
      <c r="E24" s="76" t="n">
        <v>0.8</v>
      </c>
      <c r="F24" s="123"/>
      <c r="G24" s="84" t="s">
        <v>410</v>
      </c>
    </row>
    <row r="25" customFormat="false" ht="15" hidden="false" customHeight="true" outlineLevel="0" collapsed="false">
      <c r="B25" s="5" t="s">
        <v>411</v>
      </c>
      <c r="C25" s="56" t="s">
        <v>272</v>
      </c>
      <c r="D25" s="71" t="n">
        <f aca="false">GF_E1_Total</f>
        <v>4705.38</v>
      </c>
      <c r="E25" s="71" t="n">
        <f aca="false">GF_E1_Total/Hauser_E1*Hauser_E2</f>
        <v>4705.38</v>
      </c>
      <c r="F25" s="79" t="n">
        <f aca="false">D25+E25</f>
        <v>9410.76</v>
      </c>
      <c r="G25" s="84" t="s">
        <v>412</v>
      </c>
    </row>
    <row r="26" customFormat="false" ht="23.25" hidden="false" customHeight="true" outlineLevel="0" collapsed="false">
      <c r="B26" s="5" t="s">
        <v>413</v>
      </c>
      <c r="C26" s="56" t="s">
        <v>272</v>
      </c>
      <c r="D26" s="79" t="n">
        <f aca="false">GS_E1*D24</f>
        <v>9096.248</v>
      </c>
      <c r="E26" s="79" t="n">
        <f aca="false">GS_E2*E24</f>
        <v>10768.544</v>
      </c>
      <c r="F26" s="79" t="n">
        <f aca="false">D26+E26</f>
        <v>19864.792</v>
      </c>
      <c r="G26" s="84" t="s">
        <v>414</v>
      </c>
    </row>
    <row r="27" customFormat="false" ht="15" hidden="false" customHeight="true" outlineLevel="0" collapsed="false">
      <c r="B27" s="5" t="s">
        <v>415</v>
      </c>
      <c r="C27" s="56" t="s">
        <v>416</v>
      </c>
      <c r="D27" s="124" t="n">
        <f aca="false">IFERROR(D25/D26,0)</f>
        <v>0.517288007099191</v>
      </c>
      <c r="E27" s="124" t="n">
        <f aca="false">IFERROR(E25/E26,0)</f>
        <v>0.436956008166006</v>
      </c>
      <c r="F27" s="124" t="n">
        <f aca="false">IFERROR(F25/F26,0)</f>
        <v>0.473740676469202</v>
      </c>
      <c r="G27" s="84" t="s">
        <v>417</v>
      </c>
    </row>
    <row r="30" customFormat="false" ht="15" hidden="false" customHeight="true" outlineLevel="0" collapsed="false">
      <c r="B30" s="92" t="s">
        <v>418</v>
      </c>
      <c r="C30" s="92"/>
      <c r="D30" s="92"/>
      <c r="E30" s="92"/>
      <c r="F30" s="92"/>
      <c r="G30" s="92"/>
    </row>
    <row r="31" customFormat="false" ht="15" hidden="false" customHeight="true" outlineLevel="0" collapsed="false">
      <c r="B31" s="92"/>
      <c r="C31" s="92"/>
      <c r="D31" s="92"/>
      <c r="E31" s="92"/>
      <c r="F31" s="92"/>
      <c r="G31" s="92"/>
    </row>
    <row r="32" customFormat="false" ht="15" hidden="false" customHeight="true" outlineLevel="0" collapsed="false">
      <c r="B32" s="92"/>
      <c r="C32" s="92"/>
      <c r="D32" s="92"/>
      <c r="E32" s="92"/>
      <c r="F32" s="92"/>
      <c r="G32" s="92"/>
    </row>
    <row r="33" customFormat="false" ht="15" hidden="false" customHeight="true" outlineLevel="0" collapsed="false">
      <c r="B33" s="92"/>
      <c r="C33" s="92"/>
      <c r="D33" s="92"/>
      <c r="E33" s="92"/>
      <c r="F33" s="92"/>
      <c r="G33" s="92"/>
    </row>
  </sheetData>
  <mergeCells count="6">
    <mergeCell ref="B2:G2"/>
    <mergeCell ref="B3:G3"/>
    <mergeCell ref="B5:G5"/>
    <mergeCell ref="B15:G15"/>
    <mergeCell ref="B23:G23"/>
    <mergeCell ref="B30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T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19" min="3" style="1" width="13"/>
  </cols>
  <sheetData>
    <row r="1" customFormat="false" ht="24" hidden="false" customHeight="true" outlineLevel="0" collapsed="false">
      <c r="A1" s="125" t="s">
        <v>419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customFormat="false" ht="15" hidden="false" customHeight="true" outlineLevel="0" collapsed="false">
      <c r="A2" s="36" t="s">
        <v>420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  <row r="4" customFormat="false" ht="15" hidden="false" customHeight="true" outlineLevel="0" collapsed="false">
      <c r="A4" s="33" t="s">
        <v>421</v>
      </c>
    </row>
    <row r="5" customFormat="false" ht="15" hidden="false" customHeight="true" outlineLevel="0" collapsed="false">
      <c r="A5" s="33" t="s">
        <v>422</v>
      </c>
      <c r="B5" s="33" t="s">
        <v>423</v>
      </c>
      <c r="G5" s="33" t="s">
        <v>424</v>
      </c>
      <c r="J5" s="33" t="s">
        <v>425</v>
      </c>
    </row>
    <row r="6" customFormat="false" ht="15" hidden="false" customHeight="true" outlineLevel="0" collapsed="false">
      <c r="A6" s="33" t="s">
        <v>426</v>
      </c>
      <c r="G6" s="126" t="n">
        <v>3</v>
      </c>
      <c r="H6" s="33" t="s">
        <v>427</v>
      </c>
      <c r="J6" s="126" t="n">
        <v>6</v>
      </c>
      <c r="K6" s="33" t="s">
        <v>427</v>
      </c>
    </row>
    <row r="7" customFormat="false" ht="15" hidden="false" customHeight="true" outlineLevel="0" collapsed="false">
      <c r="A7" s="33" t="s">
        <v>428</v>
      </c>
      <c r="B7" s="33" t="s">
        <v>118</v>
      </c>
      <c r="C7" s="33" t="s">
        <v>429</v>
      </c>
      <c r="D7" s="33" t="s">
        <v>430</v>
      </c>
      <c r="E7" s="33" t="s">
        <v>431</v>
      </c>
      <c r="G7" s="33" t="s">
        <v>429</v>
      </c>
      <c r="H7" s="33" t="s">
        <v>431</v>
      </c>
      <c r="J7" s="33" t="s">
        <v>429</v>
      </c>
      <c r="K7" s="33" t="s">
        <v>431</v>
      </c>
    </row>
    <row r="8" customFormat="false" ht="15" hidden="false" customHeight="true" outlineLevel="0" collapsed="false">
      <c r="A8" s="33" t="s">
        <v>308</v>
      </c>
      <c r="C8" s="126" t="n">
        <v>3495.12</v>
      </c>
      <c r="E8" s="126" t="n">
        <v>13061.2226</v>
      </c>
      <c r="G8" s="126" t="n">
        <v>10485.36</v>
      </c>
      <c r="H8" s="126" t="n">
        <v>39183.6678</v>
      </c>
      <c r="J8" s="126" t="n">
        <v>20970.72</v>
      </c>
      <c r="K8" s="126" t="n">
        <v>78367.3356</v>
      </c>
    </row>
    <row r="9" customFormat="false" ht="15" hidden="false" customHeight="true" outlineLevel="0" collapsed="false">
      <c r="A9" s="33" t="s">
        <v>159</v>
      </c>
      <c r="B9" s="33" t="s">
        <v>432</v>
      </c>
      <c r="C9" s="126" t="n">
        <v>1192.21</v>
      </c>
      <c r="D9" s="126" t="n">
        <v>4.8</v>
      </c>
      <c r="E9" s="126" t="n">
        <v>5722.608</v>
      </c>
      <c r="G9" s="126" t="n">
        <v>3576.63</v>
      </c>
      <c r="H9" s="126" t="n">
        <v>17167.824</v>
      </c>
      <c r="J9" s="126" t="n">
        <v>7153.26</v>
      </c>
      <c r="K9" s="126" t="n">
        <v>34335.648</v>
      </c>
    </row>
    <row r="10" customFormat="false" ht="15" hidden="false" customHeight="true" outlineLevel="0" collapsed="false">
      <c r="B10" s="33" t="s">
        <v>433</v>
      </c>
      <c r="C10" s="126" t="n">
        <v>13.51</v>
      </c>
      <c r="D10" s="126" t="n">
        <v>2.74</v>
      </c>
      <c r="E10" s="126" t="n">
        <v>37.0174</v>
      </c>
      <c r="G10" s="126" t="n">
        <v>40.53</v>
      </c>
      <c r="H10" s="126" t="n">
        <v>111.0522</v>
      </c>
      <c r="J10" s="126" t="n">
        <v>81.06</v>
      </c>
      <c r="K10" s="126" t="n">
        <v>222.1044</v>
      </c>
    </row>
    <row r="11" customFormat="false" ht="15" hidden="false" customHeight="true" outlineLevel="0" collapsed="false">
      <c r="A11" s="33" t="s">
        <v>164</v>
      </c>
      <c r="B11" s="33" t="s">
        <v>434</v>
      </c>
      <c r="C11" s="126" t="n">
        <v>1086.96</v>
      </c>
      <c r="D11" s="126" t="n">
        <v>2.57</v>
      </c>
      <c r="E11" s="126" t="n">
        <v>2793.4872</v>
      </c>
      <c r="G11" s="126" t="n">
        <v>3260.88</v>
      </c>
      <c r="H11" s="126" t="n">
        <v>8380.4616</v>
      </c>
      <c r="J11" s="126" t="n">
        <v>6521.76</v>
      </c>
      <c r="K11" s="126" t="n">
        <v>16760.9232</v>
      </c>
    </row>
    <row r="12" customFormat="false" ht="15" hidden="false" customHeight="true" outlineLevel="0" collapsed="false">
      <c r="A12" s="33" t="s">
        <v>171</v>
      </c>
      <c r="B12" s="33" t="s">
        <v>435</v>
      </c>
      <c r="C12" s="126" t="n">
        <v>1179.36</v>
      </c>
      <c r="D12" s="126" t="n">
        <v>3.8</v>
      </c>
      <c r="E12" s="126" t="n">
        <v>4481.568</v>
      </c>
      <c r="G12" s="126" t="n">
        <v>3538.08</v>
      </c>
      <c r="H12" s="126" t="n">
        <v>13444.704</v>
      </c>
      <c r="J12" s="126" t="n">
        <v>7076.16</v>
      </c>
      <c r="K12" s="126" t="n">
        <v>26889.408</v>
      </c>
    </row>
    <row r="13" customFormat="false" ht="15" hidden="false" customHeight="true" outlineLevel="0" collapsed="false">
      <c r="A13" s="33" t="s">
        <v>436</v>
      </c>
      <c r="B13" s="33" t="s">
        <v>437</v>
      </c>
      <c r="C13" s="126" t="n">
        <v>23.08</v>
      </c>
      <c r="D13" s="126" t="n">
        <v>1.15</v>
      </c>
      <c r="E13" s="126" t="n">
        <v>26.542</v>
      </c>
      <c r="G13" s="126" t="n">
        <v>69.24</v>
      </c>
      <c r="H13" s="126" t="n">
        <v>79.626</v>
      </c>
      <c r="J13" s="126" t="n">
        <v>138.48</v>
      </c>
      <c r="K13" s="126" t="n">
        <v>159.252</v>
      </c>
    </row>
    <row r="14" customFormat="false" ht="15" hidden="false" customHeight="true" outlineLevel="0" collapsed="false">
      <c r="A14" s="33" t="s">
        <v>438</v>
      </c>
      <c r="B14" s="33" t="s">
        <v>118</v>
      </c>
      <c r="C14" s="33" t="s">
        <v>429</v>
      </c>
      <c r="D14" s="33" t="s">
        <v>430</v>
      </c>
      <c r="E14" s="33" t="s">
        <v>431</v>
      </c>
      <c r="G14" s="33" t="s">
        <v>429</v>
      </c>
      <c r="H14" s="33" t="s">
        <v>431</v>
      </c>
      <c r="J14" s="33" t="s">
        <v>429</v>
      </c>
      <c r="K14" s="33" t="s">
        <v>431</v>
      </c>
    </row>
    <row r="15" customFormat="false" ht="15" hidden="false" customHeight="true" outlineLevel="0" collapsed="false">
      <c r="A15" s="33" t="s">
        <v>308</v>
      </c>
      <c r="C15" s="126" t="n">
        <v>1210.17</v>
      </c>
      <c r="E15" s="126" t="n">
        <v>4594.3092</v>
      </c>
      <c r="G15" s="126" t="n">
        <v>3630.51</v>
      </c>
      <c r="H15" s="126" t="n">
        <v>13782.9276</v>
      </c>
      <c r="J15" s="126" t="n">
        <v>7261.02</v>
      </c>
      <c r="K15" s="126" t="n">
        <v>27565.8552</v>
      </c>
    </row>
    <row r="16" customFormat="false" ht="15" hidden="false" customHeight="true" outlineLevel="0" collapsed="false">
      <c r="A16" s="33" t="s">
        <v>175</v>
      </c>
      <c r="B16" s="33" t="s">
        <v>432</v>
      </c>
      <c r="C16" s="126" t="n">
        <v>1187.63</v>
      </c>
      <c r="D16" s="126" t="n">
        <v>3.84</v>
      </c>
      <c r="E16" s="126" t="n">
        <v>4560.4992</v>
      </c>
      <c r="G16" s="126" t="n">
        <v>3562.89</v>
      </c>
      <c r="H16" s="126" t="n">
        <v>13681.4976</v>
      </c>
      <c r="J16" s="126" t="n">
        <v>7125.78</v>
      </c>
      <c r="K16" s="126" t="n">
        <v>27362.9952</v>
      </c>
    </row>
    <row r="17" customFormat="false" ht="15" hidden="false" customHeight="true" outlineLevel="0" collapsed="false">
      <c r="A17" s="33" t="s">
        <v>439</v>
      </c>
      <c r="B17" s="33" t="s">
        <v>440</v>
      </c>
      <c r="C17" s="126" t="n">
        <v>22.54</v>
      </c>
      <c r="D17" s="126" t="n">
        <v>1.5</v>
      </c>
      <c r="E17" s="126" t="n">
        <v>33.81</v>
      </c>
      <c r="G17" s="126" t="n">
        <v>67.62</v>
      </c>
      <c r="H17" s="126" t="n">
        <v>101.43</v>
      </c>
      <c r="J17" s="126" t="n">
        <v>135.24</v>
      </c>
      <c r="K17" s="126" t="n">
        <v>202.86</v>
      </c>
    </row>
    <row r="18" customFormat="false" ht="15" hidden="false" customHeight="true" outlineLevel="0" collapsed="false">
      <c r="A18" s="33" t="s">
        <v>441</v>
      </c>
      <c r="C18" s="33" t="s">
        <v>429</v>
      </c>
      <c r="E18" s="33" t="s">
        <v>431</v>
      </c>
      <c r="G18" s="33" t="s">
        <v>429</v>
      </c>
      <c r="H18" s="33" t="s">
        <v>431</v>
      </c>
      <c r="J18" s="33" t="s">
        <v>429</v>
      </c>
      <c r="K18" s="33" t="s">
        <v>431</v>
      </c>
    </row>
    <row r="19" customFormat="false" ht="15" hidden="false" customHeight="true" outlineLevel="0" collapsed="false">
      <c r="A19" s="33" t="s">
        <v>308</v>
      </c>
      <c r="C19" s="126" t="n">
        <v>4705.29</v>
      </c>
      <c r="E19" s="126" t="n">
        <v>17655.5318</v>
      </c>
      <c r="G19" s="126" t="n">
        <v>14115.87</v>
      </c>
      <c r="H19" s="126" t="n">
        <v>52966.5954</v>
      </c>
      <c r="J19" s="126" t="n">
        <v>28231.74</v>
      </c>
      <c r="K19" s="126" t="n">
        <v>105933.1908</v>
      </c>
    </row>
    <row r="20" customFormat="false" ht="15" hidden="false" customHeight="true" outlineLevel="0" collapsed="false">
      <c r="A20" s="33" t="s">
        <v>442</v>
      </c>
      <c r="G20" s="126" t="n">
        <v>220.89</v>
      </c>
      <c r="H20" s="126" t="n">
        <v>905.52</v>
      </c>
      <c r="J20" s="126" t="n">
        <v>552.89</v>
      </c>
      <c r="K20" s="126" t="n">
        <v>2277.695</v>
      </c>
    </row>
    <row r="22" customFormat="false" ht="15" hidden="false" customHeight="true" outlineLevel="0" collapsed="false">
      <c r="A22" s="33" t="s">
        <v>443</v>
      </c>
      <c r="B22" s="33" t="s">
        <v>444</v>
      </c>
      <c r="F22" s="126" t="n">
        <v>7051.82</v>
      </c>
      <c r="G22" s="33" t="s">
        <v>445</v>
      </c>
      <c r="L22" s="126" t="n">
        <v>7869.46</v>
      </c>
      <c r="M22" s="33" t="s">
        <v>446</v>
      </c>
      <c r="N22" s="126" t="n">
        <v>7820.91</v>
      </c>
      <c r="O22" s="33" t="s">
        <v>447</v>
      </c>
      <c r="P22" s="126" t="n">
        <v>0.9938305805</v>
      </c>
    </row>
    <row r="23" customFormat="false" ht="15" hidden="false" customHeight="true" outlineLevel="0" collapsed="false">
      <c r="A23" s="33" t="s">
        <v>69</v>
      </c>
    </row>
    <row r="24" customFormat="false" ht="15" hidden="false" customHeight="true" outlineLevel="0" collapsed="false">
      <c r="B24" s="33" t="s">
        <v>444</v>
      </c>
      <c r="F24" s="126" t="n">
        <v>2306.7</v>
      </c>
      <c r="G24" s="33" t="s">
        <v>445</v>
      </c>
      <c r="L24" s="126" t="n">
        <v>2603.78</v>
      </c>
      <c r="M24" s="33" t="s">
        <v>446</v>
      </c>
      <c r="N24" s="126" t="n">
        <v>2587.59</v>
      </c>
      <c r="O24" s="33" t="s">
        <v>447</v>
      </c>
      <c r="P24" s="126" t="n">
        <v>0.9937821168</v>
      </c>
    </row>
    <row r="25" customFormat="false" ht="15" hidden="false" customHeight="true" outlineLevel="0" collapsed="false">
      <c r="A25" s="33" t="s">
        <v>151</v>
      </c>
      <c r="B25" s="33" t="s">
        <v>118</v>
      </c>
      <c r="C25" s="33" t="s">
        <v>152</v>
      </c>
      <c r="D25" s="33" t="s">
        <v>448</v>
      </c>
      <c r="E25" s="33" t="s">
        <v>449</v>
      </c>
      <c r="F25" s="33" t="s">
        <v>450</v>
      </c>
      <c r="G25" s="33" t="s">
        <v>451</v>
      </c>
      <c r="H25" s="33" t="s">
        <v>452</v>
      </c>
      <c r="I25" s="33" t="s">
        <v>453</v>
      </c>
      <c r="J25" s="33" t="s">
        <v>454</v>
      </c>
      <c r="K25" s="33" t="s">
        <v>455</v>
      </c>
      <c r="L25" s="33" t="s">
        <v>456</v>
      </c>
      <c r="M25" s="33" t="s">
        <v>457</v>
      </c>
      <c r="N25" s="33" t="s">
        <v>403</v>
      </c>
      <c r="Q25" s="33" t="s">
        <v>458</v>
      </c>
      <c r="R25" s="33" t="s">
        <v>459</v>
      </c>
      <c r="S25" s="33" t="s">
        <v>460</v>
      </c>
    </row>
    <row r="26" customFormat="false" ht="15" hidden="false" customHeight="true" outlineLevel="0" collapsed="false">
      <c r="A26" s="33" t="s">
        <v>159</v>
      </c>
      <c r="B26" s="33" t="s">
        <v>160</v>
      </c>
      <c r="C26" s="126" t="n">
        <v>1</v>
      </c>
      <c r="D26" s="33" t="s">
        <v>298</v>
      </c>
      <c r="F26" s="126" t="n">
        <v>113.4</v>
      </c>
      <c r="H26" s="126" t="n">
        <v>19.07616316</v>
      </c>
      <c r="J26" s="126" t="n">
        <v>27.29804502</v>
      </c>
      <c r="L26" s="126" t="n">
        <v>159.7742082</v>
      </c>
      <c r="M26" s="126" t="n">
        <v>1.408943635</v>
      </c>
      <c r="N26" s="126" t="n">
        <v>150</v>
      </c>
      <c r="Q26" s="126" t="n">
        <v>23966.13123</v>
      </c>
      <c r="R26" s="126" t="n">
        <v>1997.177602</v>
      </c>
    </row>
    <row r="27" customFormat="false" ht="15" hidden="false" customHeight="true" outlineLevel="0" collapsed="false">
      <c r="A27" s="126" t="n">
        <v>1205.72</v>
      </c>
      <c r="B27" s="33" t="s">
        <v>161</v>
      </c>
      <c r="C27" s="126" t="n">
        <v>1</v>
      </c>
      <c r="D27" s="33" t="s">
        <v>298</v>
      </c>
      <c r="F27" s="126" t="n">
        <v>171.22</v>
      </c>
      <c r="H27" s="126" t="n">
        <v>28.80265129</v>
      </c>
      <c r="J27" s="126" t="n">
        <v>41.21667785</v>
      </c>
      <c r="L27" s="126" t="n">
        <v>241.2393291</v>
      </c>
      <c r="M27" s="126" t="n">
        <v>1.408943635</v>
      </c>
      <c r="N27" s="126" t="n">
        <v>150</v>
      </c>
      <c r="Q27" s="126" t="n">
        <v>36185.89937</v>
      </c>
      <c r="R27" s="126" t="n">
        <v>3015.491614</v>
      </c>
    </row>
    <row r="28" customFormat="false" ht="15" hidden="false" customHeight="true" outlineLevel="0" collapsed="false">
      <c r="B28" s="33" t="s">
        <v>162</v>
      </c>
      <c r="C28" s="126" t="n">
        <v>1</v>
      </c>
      <c r="D28" s="33" t="s">
        <v>298</v>
      </c>
      <c r="F28" s="126" t="n">
        <v>228.62</v>
      </c>
      <c r="H28" s="126" t="n">
        <v>38.45848697</v>
      </c>
      <c r="J28" s="126" t="n">
        <v>55.03420681</v>
      </c>
      <c r="L28" s="126" t="n">
        <v>322.1126938</v>
      </c>
      <c r="M28" s="126" t="n">
        <v>1.408943635</v>
      </c>
      <c r="N28" s="126" t="n">
        <v>145</v>
      </c>
      <c r="Q28" s="126" t="n">
        <v>46706.3406</v>
      </c>
      <c r="R28" s="126" t="n">
        <v>3892.19505</v>
      </c>
    </row>
    <row r="29" customFormat="false" ht="15" hidden="false" customHeight="true" outlineLevel="0" collapsed="false">
      <c r="B29" s="33" t="s">
        <v>461</v>
      </c>
      <c r="C29" s="126" t="n">
        <v>1</v>
      </c>
      <c r="D29" s="33" t="s">
        <v>298</v>
      </c>
      <c r="F29" s="126" t="n">
        <v>518.86</v>
      </c>
      <c r="H29" s="126" t="n">
        <v>87.28269858</v>
      </c>
      <c r="J29" s="126" t="n">
        <v>124.9017958</v>
      </c>
      <c r="L29" s="126" t="n">
        <v>731.0444943</v>
      </c>
      <c r="M29" s="126" t="n">
        <v>1.408943635</v>
      </c>
      <c r="N29" s="126" t="n">
        <v>140</v>
      </c>
      <c r="Q29" s="126" t="n">
        <v>102346.2292</v>
      </c>
      <c r="R29" s="126" t="n">
        <v>8528.852434</v>
      </c>
    </row>
    <row r="30" customFormat="false" ht="15" hidden="false" customHeight="true" outlineLevel="0" collapsed="false">
      <c r="B30" s="33" t="s">
        <v>462</v>
      </c>
      <c r="D30" s="33" t="s">
        <v>302</v>
      </c>
      <c r="F30" s="126" t="n">
        <v>82.12</v>
      </c>
      <c r="S30" s="126" t="n">
        <v>209204.6004</v>
      </c>
    </row>
    <row r="31" customFormat="false" ht="15" hidden="false" customHeight="true" outlineLevel="0" collapsed="false">
      <c r="B31" s="33" t="s">
        <v>307</v>
      </c>
      <c r="D31" s="33" t="s">
        <v>306</v>
      </c>
      <c r="F31" s="126" t="n">
        <v>91.5</v>
      </c>
    </row>
    <row r="33" customFormat="false" ht="15" hidden="false" customHeight="true" outlineLevel="0" collapsed="false">
      <c r="B33" s="33" t="s">
        <v>186</v>
      </c>
      <c r="F33" s="126" t="n">
        <v>1032.1</v>
      </c>
    </row>
    <row r="34" customFormat="false" ht="15" hidden="false" customHeight="true" outlineLevel="0" collapsed="false">
      <c r="B34" s="33" t="s">
        <v>463</v>
      </c>
      <c r="F34" s="126" t="n">
        <v>173.62</v>
      </c>
      <c r="J34" s="126" t="n">
        <v>248.4507254</v>
      </c>
    </row>
    <row r="35" customFormat="false" ht="15" hidden="false" customHeight="true" outlineLevel="0" collapsed="false">
      <c r="A35" s="33" t="s">
        <v>151</v>
      </c>
      <c r="B35" s="33" t="s">
        <v>118</v>
      </c>
      <c r="C35" s="33" t="s">
        <v>152</v>
      </c>
      <c r="D35" s="33" t="s">
        <v>448</v>
      </c>
      <c r="E35" s="33" t="s">
        <v>449</v>
      </c>
      <c r="F35" s="33" t="s">
        <v>450</v>
      </c>
      <c r="G35" s="33" t="s">
        <v>451</v>
      </c>
      <c r="H35" s="33" t="s">
        <v>452</v>
      </c>
      <c r="I35" s="33" t="s">
        <v>453</v>
      </c>
      <c r="J35" s="33" t="s">
        <v>454</v>
      </c>
      <c r="K35" s="33" t="s">
        <v>455</v>
      </c>
      <c r="L35" s="33" t="s">
        <v>456</v>
      </c>
      <c r="M35" s="33" t="s">
        <v>457</v>
      </c>
      <c r="N35" s="33" t="s">
        <v>403</v>
      </c>
      <c r="O35" s="33" t="s">
        <v>464</v>
      </c>
      <c r="P35" s="33" t="s">
        <v>465</v>
      </c>
      <c r="Q35" s="33" t="s">
        <v>458</v>
      </c>
      <c r="R35" s="33" t="s">
        <v>459</v>
      </c>
      <c r="S35" s="33" t="s">
        <v>466</v>
      </c>
    </row>
    <row r="36" customFormat="false" ht="15" hidden="false" customHeight="true" outlineLevel="0" collapsed="false">
      <c r="A36" s="33" t="s">
        <v>164</v>
      </c>
      <c r="B36" s="33" t="s">
        <v>165</v>
      </c>
      <c r="C36" s="126" t="n">
        <v>4</v>
      </c>
      <c r="D36" s="33" t="s">
        <v>298</v>
      </c>
      <c r="E36" s="126" t="n">
        <v>27.08</v>
      </c>
      <c r="F36" s="126" t="n">
        <v>108.32</v>
      </c>
      <c r="G36" s="126" t="n">
        <v>26.22028198</v>
      </c>
      <c r="H36" s="126" t="n">
        <v>104.8811279</v>
      </c>
      <c r="I36" s="126" t="n">
        <v>6.518792408</v>
      </c>
      <c r="J36" s="126" t="n">
        <v>26.07516963</v>
      </c>
      <c r="K36" s="126" t="n">
        <v>59.81907439</v>
      </c>
      <c r="L36" s="126" t="n">
        <v>239.2762975</v>
      </c>
      <c r="M36" s="126" t="n">
        <v>2.208976159</v>
      </c>
      <c r="N36" s="126" t="n">
        <v>175</v>
      </c>
      <c r="O36" s="126" t="n">
        <v>10468.33802</v>
      </c>
      <c r="P36" s="126" t="n">
        <v>872.3615015</v>
      </c>
      <c r="Q36" s="126" t="n">
        <v>41873.35207</v>
      </c>
      <c r="R36" s="126" t="n">
        <v>3489.446006</v>
      </c>
    </row>
    <row r="37" customFormat="false" ht="15" hidden="false" customHeight="true" outlineLevel="0" collapsed="false">
      <c r="A37" s="126" t="n">
        <v>1192.21</v>
      </c>
      <c r="B37" s="33" t="s">
        <v>166</v>
      </c>
      <c r="C37" s="126" t="n">
        <v>4</v>
      </c>
      <c r="D37" s="33" t="s">
        <v>298</v>
      </c>
      <c r="E37" s="126" t="n">
        <v>39.73</v>
      </c>
      <c r="F37" s="126" t="n">
        <v>158.92</v>
      </c>
      <c r="G37" s="126" t="n">
        <v>38.4686781</v>
      </c>
      <c r="H37" s="126" t="n">
        <v>153.8747124</v>
      </c>
      <c r="I37" s="126" t="n">
        <v>9.563944697</v>
      </c>
      <c r="J37" s="126" t="n">
        <v>38.25577879</v>
      </c>
      <c r="K37" s="126" t="n">
        <v>87.7626228</v>
      </c>
      <c r="L37" s="126" t="n">
        <v>351.0504912</v>
      </c>
      <c r="M37" s="126" t="n">
        <v>2.208976159</v>
      </c>
      <c r="N37" s="126" t="n">
        <v>170</v>
      </c>
      <c r="O37" s="126" t="n">
        <v>14919.64588</v>
      </c>
      <c r="P37" s="126" t="n">
        <v>1243.303823</v>
      </c>
      <c r="Q37" s="126" t="n">
        <v>59678.5835</v>
      </c>
      <c r="R37" s="126" t="n">
        <v>4973.215292</v>
      </c>
    </row>
    <row r="38" customFormat="false" ht="15" hidden="false" customHeight="true" outlineLevel="0" collapsed="false">
      <c r="A38" s="33" t="s">
        <v>467</v>
      </c>
      <c r="B38" s="33" t="s">
        <v>167</v>
      </c>
      <c r="C38" s="126" t="n">
        <v>4</v>
      </c>
      <c r="D38" s="33" t="s">
        <v>298</v>
      </c>
      <c r="E38" s="126" t="n">
        <v>42.03</v>
      </c>
      <c r="F38" s="126" t="n">
        <v>168.12</v>
      </c>
      <c r="G38" s="126" t="n">
        <v>40.69565922</v>
      </c>
      <c r="H38" s="126" t="n">
        <v>162.7826369</v>
      </c>
      <c r="I38" s="126" t="n">
        <v>10.11760875</v>
      </c>
      <c r="J38" s="126" t="n">
        <v>40.470435</v>
      </c>
      <c r="K38" s="126" t="n">
        <v>92.84326796</v>
      </c>
      <c r="L38" s="126" t="n">
        <v>371.3730719</v>
      </c>
      <c r="M38" s="126" t="n">
        <v>2.208976159</v>
      </c>
      <c r="N38" s="126" t="n">
        <v>170</v>
      </c>
      <c r="O38" s="126" t="n">
        <v>15783.35555</v>
      </c>
      <c r="P38" s="126" t="n">
        <v>1315.279629</v>
      </c>
      <c r="Q38" s="126" t="n">
        <v>63133.42222</v>
      </c>
      <c r="R38" s="126" t="n">
        <v>5261.118518</v>
      </c>
    </row>
    <row r="39" customFormat="false" ht="15" hidden="false" customHeight="true" outlineLevel="0" collapsed="false">
      <c r="B39" s="33" t="s">
        <v>168</v>
      </c>
      <c r="C39" s="126" t="n">
        <v>4</v>
      </c>
      <c r="D39" s="33" t="s">
        <v>298</v>
      </c>
      <c r="E39" s="126" t="n">
        <v>42.59</v>
      </c>
      <c r="F39" s="126" t="n">
        <v>170.36</v>
      </c>
      <c r="G39" s="126" t="n">
        <v>41.2378807</v>
      </c>
      <c r="H39" s="126" t="n">
        <v>164.9515228</v>
      </c>
      <c r="I39" s="126" t="n">
        <v>10.25241391</v>
      </c>
      <c r="J39" s="126" t="n">
        <v>41.00965564</v>
      </c>
      <c r="K39" s="126" t="n">
        <v>94.08029461</v>
      </c>
      <c r="L39" s="126" t="n">
        <v>376.3211785</v>
      </c>
      <c r="M39" s="126" t="n">
        <v>2.208976159</v>
      </c>
      <c r="N39" s="126" t="n">
        <v>170</v>
      </c>
      <c r="O39" s="126" t="n">
        <v>15993.65008</v>
      </c>
      <c r="P39" s="126" t="n">
        <v>1332.804174</v>
      </c>
      <c r="Q39" s="126" t="n">
        <v>63974.60034</v>
      </c>
      <c r="R39" s="126" t="n">
        <v>5331.216695</v>
      </c>
    </row>
    <row r="40" customFormat="false" ht="15" hidden="false" customHeight="true" outlineLevel="0" collapsed="false">
      <c r="B40" s="33" t="s">
        <v>468</v>
      </c>
      <c r="C40" s="126" t="n">
        <v>4</v>
      </c>
      <c r="D40" s="33" t="s">
        <v>298</v>
      </c>
      <c r="E40" s="126" t="n">
        <v>36.8</v>
      </c>
      <c r="F40" s="126" t="n">
        <v>147.2</v>
      </c>
      <c r="S40" s="126" t="n">
        <v>228659.9581</v>
      </c>
    </row>
    <row r="41" customFormat="false" ht="15" hidden="false" customHeight="true" outlineLevel="0" collapsed="false">
      <c r="B41" s="33" t="s">
        <v>462</v>
      </c>
      <c r="D41" s="33" t="s">
        <v>302</v>
      </c>
      <c r="F41" s="126" t="n">
        <v>204.62</v>
      </c>
    </row>
    <row r="42" customFormat="false" ht="15" hidden="false" customHeight="true" outlineLevel="0" collapsed="false">
      <c r="B42" s="33" t="s">
        <v>469</v>
      </c>
      <c r="D42" s="33" t="s">
        <v>470</v>
      </c>
      <c r="F42" s="126" t="n">
        <v>105.25</v>
      </c>
    </row>
    <row r="43" customFormat="false" ht="15" hidden="false" customHeight="true" outlineLevel="0" collapsed="false">
      <c r="B43" s="33" t="s">
        <v>307</v>
      </c>
      <c r="D43" s="33" t="s">
        <v>306</v>
      </c>
      <c r="F43" s="126" t="n">
        <v>129.42</v>
      </c>
    </row>
    <row r="45" customFormat="false" ht="15" hidden="false" customHeight="true" outlineLevel="0" collapsed="false">
      <c r="B45" s="33" t="s">
        <v>186</v>
      </c>
      <c r="F45" s="126" t="n">
        <v>605.72</v>
      </c>
    </row>
    <row r="46" customFormat="false" ht="15" hidden="false" customHeight="true" outlineLevel="0" collapsed="false">
      <c r="B46" s="33" t="s">
        <v>463</v>
      </c>
      <c r="F46" s="126" t="n">
        <v>586.49</v>
      </c>
      <c r="J46" s="126" t="n">
        <v>145.8110391</v>
      </c>
    </row>
    <row r="47" customFormat="false" ht="15" hidden="false" customHeight="true" outlineLevel="0" collapsed="false">
      <c r="A47" s="33" t="s">
        <v>151</v>
      </c>
      <c r="B47" s="33" t="s">
        <v>118</v>
      </c>
      <c r="C47" s="33" t="s">
        <v>152</v>
      </c>
      <c r="D47" s="33" t="s">
        <v>448</v>
      </c>
      <c r="E47" s="33" t="s">
        <v>449</v>
      </c>
      <c r="F47" s="33" t="s">
        <v>450</v>
      </c>
      <c r="N47" s="33" t="s">
        <v>403</v>
      </c>
      <c r="O47" s="33" t="s">
        <v>464</v>
      </c>
      <c r="P47" s="33" t="s">
        <v>465</v>
      </c>
      <c r="Q47" s="33" t="s">
        <v>458</v>
      </c>
      <c r="R47" s="33" t="s">
        <v>459</v>
      </c>
      <c r="S47" s="33" t="s">
        <v>471</v>
      </c>
    </row>
    <row r="48" customFormat="false" ht="15" hidden="false" customHeight="true" outlineLevel="0" collapsed="false">
      <c r="A48" s="33" t="s">
        <v>171</v>
      </c>
      <c r="B48" s="33" t="s">
        <v>472</v>
      </c>
      <c r="C48" s="126" t="n">
        <v>12</v>
      </c>
      <c r="D48" s="33" t="s">
        <v>298</v>
      </c>
      <c r="E48" s="126" t="n">
        <v>25.38</v>
      </c>
      <c r="F48" s="126" t="n">
        <v>304.56</v>
      </c>
      <c r="N48" s="126" t="n">
        <v>400</v>
      </c>
      <c r="O48" s="126" t="n">
        <v>10152</v>
      </c>
      <c r="P48" s="126" t="n">
        <v>846</v>
      </c>
      <c r="Q48" s="126" t="n">
        <v>121824</v>
      </c>
      <c r="R48" s="126" t="n">
        <v>10152</v>
      </c>
    </row>
    <row r="49" customFormat="false" ht="15" hidden="false" customHeight="true" outlineLevel="0" collapsed="false">
      <c r="A49" s="126" t="n">
        <v>1179.36</v>
      </c>
      <c r="B49" s="33" t="s">
        <v>473</v>
      </c>
      <c r="C49" s="126" t="n">
        <v>4</v>
      </c>
      <c r="D49" s="33" t="s">
        <v>298</v>
      </c>
      <c r="E49" s="126" t="n">
        <v>38.03</v>
      </c>
      <c r="F49" s="126" t="n">
        <v>152.12</v>
      </c>
      <c r="N49" s="126" t="n">
        <v>380</v>
      </c>
      <c r="O49" s="126" t="n">
        <v>14451.4</v>
      </c>
      <c r="P49" s="126" t="n">
        <v>1204.283333</v>
      </c>
      <c r="Q49" s="126" t="n">
        <v>57805.6</v>
      </c>
      <c r="R49" s="126" t="n">
        <v>4817.133333</v>
      </c>
    </row>
    <row r="50" customFormat="false" ht="15" hidden="false" customHeight="true" outlineLevel="0" collapsed="false">
      <c r="B50" s="33" t="s">
        <v>474</v>
      </c>
      <c r="C50" s="126" t="n">
        <v>4</v>
      </c>
      <c r="D50" s="33" t="s">
        <v>298</v>
      </c>
      <c r="E50" s="126" t="n">
        <v>53.05</v>
      </c>
      <c r="F50" s="126" t="n">
        <v>212.2</v>
      </c>
      <c r="N50" s="126" t="n">
        <v>370</v>
      </c>
      <c r="O50" s="126" t="n">
        <v>19628.5</v>
      </c>
      <c r="P50" s="126" t="n">
        <v>1635.708333</v>
      </c>
      <c r="Q50" s="126" t="n">
        <v>78514</v>
      </c>
      <c r="R50" s="126" t="n">
        <v>6542.833333</v>
      </c>
    </row>
    <row r="51" customFormat="false" ht="15" hidden="false" customHeight="true" outlineLevel="0" collapsed="false">
      <c r="B51" s="33" t="s">
        <v>475</v>
      </c>
      <c r="C51" s="126" t="n">
        <v>4</v>
      </c>
      <c r="D51" s="33" t="s">
        <v>298</v>
      </c>
      <c r="E51" s="126" t="n">
        <v>37.47</v>
      </c>
      <c r="F51" s="126" t="n">
        <v>149.88</v>
      </c>
      <c r="S51" s="126" t="n">
        <v>258143.6</v>
      </c>
    </row>
    <row r="52" customFormat="false" ht="15" hidden="false" customHeight="true" outlineLevel="0" collapsed="false">
      <c r="B52" s="33" t="s">
        <v>462</v>
      </c>
      <c r="D52" s="33" t="s">
        <v>302</v>
      </c>
      <c r="F52" s="126" t="n">
        <v>204.16</v>
      </c>
    </row>
    <row r="53" customFormat="false" ht="15" hidden="false" customHeight="true" outlineLevel="0" collapsed="false">
      <c r="B53" s="33" t="s">
        <v>307</v>
      </c>
      <c r="D53" s="33" t="s">
        <v>306</v>
      </c>
      <c r="F53" s="126" t="n">
        <v>156.44</v>
      </c>
    </row>
    <row r="55" customFormat="false" ht="15" hidden="false" customHeight="true" outlineLevel="0" collapsed="false">
      <c r="B55" s="33" t="s">
        <v>186</v>
      </c>
      <c r="F55" s="126" t="n">
        <v>668.88</v>
      </c>
    </row>
    <row r="56" customFormat="false" ht="15" hidden="false" customHeight="true" outlineLevel="0" collapsed="false">
      <c r="B56" s="33" t="s">
        <v>463</v>
      </c>
      <c r="F56" s="126" t="n">
        <v>510.48</v>
      </c>
    </row>
    <row r="57" customFormat="false" ht="15" hidden="false" customHeight="true" outlineLevel="0" collapsed="false">
      <c r="A57" s="33" t="s">
        <v>151</v>
      </c>
      <c r="B57" s="33" t="s">
        <v>118</v>
      </c>
      <c r="C57" s="33" t="s">
        <v>152</v>
      </c>
      <c r="D57" s="33" t="s">
        <v>448</v>
      </c>
      <c r="E57" s="33" t="s">
        <v>449</v>
      </c>
      <c r="F57" s="33" t="s">
        <v>450</v>
      </c>
      <c r="I57" s="33" t="s">
        <v>453</v>
      </c>
      <c r="J57" s="33" t="s">
        <v>454</v>
      </c>
      <c r="K57" s="33" t="s">
        <v>455</v>
      </c>
      <c r="L57" s="33" t="s">
        <v>456</v>
      </c>
      <c r="M57" s="33" t="s">
        <v>457</v>
      </c>
      <c r="N57" s="33" t="s">
        <v>403</v>
      </c>
      <c r="O57" s="33" t="s">
        <v>464</v>
      </c>
      <c r="P57" s="33" t="s">
        <v>465</v>
      </c>
      <c r="Q57" s="33" t="s">
        <v>458</v>
      </c>
      <c r="R57" s="33" t="s">
        <v>459</v>
      </c>
      <c r="S57" s="33" t="s">
        <v>476</v>
      </c>
    </row>
    <row r="58" customFormat="false" ht="15" hidden="false" customHeight="true" outlineLevel="0" collapsed="false">
      <c r="A58" s="33" t="s">
        <v>175</v>
      </c>
      <c r="B58" s="33" t="s">
        <v>160</v>
      </c>
      <c r="C58" s="126" t="n">
        <v>4</v>
      </c>
      <c r="D58" s="33" t="s">
        <v>300</v>
      </c>
      <c r="E58" s="126" t="n">
        <v>61.14</v>
      </c>
      <c r="F58" s="126" t="n">
        <v>244.56</v>
      </c>
      <c r="I58" s="126" t="n">
        <v>14.71783485</v>
      </c>
      <c r="J58" s="126" t="n">
        <v>58.87133942</v>
      </c>
      <c r="K58" s="126" t="n">
        <v>75.85783485</v>
      </c>
      <c r="L58" s="126" t="n">
        <v>303.4313394</v>
      </c>
      <c r="M58" s="126" t="n">
        <v>1.240723501</v>
      </c>
      <c r="N58" s="126" t="n">
        <v>90</v>
      </c>
      <c r="O58" s="126" t="n">
        <v>6827.205137</v>
      </c>
      <c r="P58" s="126" t="n">
        <v>568.9337614</v>
      </c>
      <c r="Q58" s="126" t="n">
        <v>27308.82055</v>
      </c>
      <c r="R58" s="126" t="n">
        <v>2275.735046</v>
      </c>
    </row>
    <row r="59" customFormat="false" ht="15" hidden="false" customHeight="true" outlineLevel="0" collapsed="false">
      <c r="A59" s="126" t="n">
        <v>1187.63</v>
      </c>
      <c r="B59" s="33" t="s">
        <v>161</v>
      </c>
      <c r="C59" s="126" t="n">
        <v>2</v>
      </c>
      <c r="D59" s="33" t="s">
        <v>300</v>
      </c>
      <c r="E59" s="126" t="n">
        <v>61.24</v>
      </c>
      <c r="F59" s="126" t="n">
        <v>122.48</v>
      </c>
      <c r="I59" s="126" t="n">
        <v>14.7419072</v>
      </c>
      <c r="J59" s="126" t="n">
        <v>29.48381441</v>
      </c>
      <c r="K59" s="126" t="n">
        <v>75.9819072</v>
      </c>
      <c r="L59" s="126" t="n">
        <v>151.9638144</v>
      </c>
      <c r="M59" s="126" t="n">
        <v>1.240723501</v>
      </c>
      <c r="N59" s="126" t="n">
        <v>90</v>
      </c>
      <c r="O59" s="126" t="n">
        <v>6838.371648</v>
      </c>
      <c r="P59" s="126" t="n">
        <v>569.864304</v>
      </c>
      <c r="Q59" s="126" t="n">
        <v>13676.7433</v>
      </c>
      <c r="R59" s="126" t="n">
        <v>1139.728608</v>
      </c>
    </row>
    <row r="60" customFormat="false" ht="15" hidden="false" customHeight="true" outlineLevel="0" collapsed="false">
      <c r="B60" s="33" t="s">
        <v>162</v>
      </c>
      <c r="C60" s="126" t="n">
        <v>4</v>
      </c>
      <c r="D60" s="33" t="s">
        <v>300</v>
      </c>
      <c r="E60" s="126" t="n">
        <v>68.1</v>
      </c>
      <c r="F60" s="126" t="n">
        <v>272.4</v>
      </c>
      <c r="I60" s="126" t="n">
        <v>16.39327042</v>
      </c>
      <c r="J60" s="126" t="n">
        <v>65.57308169</v>
      </c>
      <c r="K60" s="126" t="n">
        <v>84.49327042</v>
      </c>
      <c r="L60" s="126" t="n">
        <v>337.9730817</v>
      </c>
      <c r="M60" s="126" t="n">
        <v>1.240723501</v>
      </c>
      <c r="N60" s="126" t="n">
        <v>90</v>
      </c>
      <c r="O60" s="126" t="n">
        <v>7604.394338</v>
      </c>
      <c r="P60" s="126" t="n">
        <v>633.6995282</v>
      </c>
      <c r="Q60" s="126" t="n">
        <v>30417.57735</v>
      </c>
      <c r="R60" s="126" t="n">
        <v>2534.798113</v>
      </c>
    </row>
    <row r="61" customFormat="false" ht="15" hidden="false" customHeight="true" outlineLevel="0" collapsed="false">
      <c r="B61" s="33" t="s">
        <v>477</v>
      </c>
      <c r="D61" s="33" t="s">
        <v>302</v>
      </c>
      <c r="F61" s="126" t="n">
        <v>187.78</v>
      </c>
      <c r="S61" s="126" t="n">
        <v>71403.1412</v>
      </c>
    </row>
    <row r="62" customFormat="false" ht="15" hidden="false" customHeight="true" outlineLevel="0" collapsed="false">
      <c r="B62" s="33" t="s">
        <v>478</v>
      </c>
      <c r="D62" s="33" t="s">
        <v>300</v>
      </c>
      <c r="F62" s="126" t="n">
        <v>20.94</v>
      </c>
    </row>
    <row r="63" customFormat="false" ht="15" hidden="false" customHeight="true" outlineLevel="0" collapsed="false">
      <c r="B63" s="33" t="s">
        <v>479</v>
      </c>
      <c r="D63" s="33" t="s">
        <v>300</v>
      </c>
      <c r="F63" s="126" t="n">
        <v>54.32</v>
      </c>
    </row>
    <row r="64" customFormat="false" ht="15" hidden="false" customHeight="true" outlineLevel="0" collapsed="false">
      <c r="B64" s="33" t="s">
        <v>231</v>
      </c>
      <c r="D64" s="33" t="s">
        <v>304</v>
      </c>
      <c r="F64" s="126" t="n">
        <v>30.9</v>
      </c>
    </row>
    <row r="65" customFormat="false" ht="15" hidden="false" customHeight="true" outlineLevel="0" collapsed="false">
      <c r="B65" s="33" t="s">
        <v>480</v>
      </c>
      <c r="D65" s="33" t="s">
        <v>306</v>
      </c>
      <c r="F65" s="126" t="n">
        <v>254.25</v>
      </c>
    </row>
    <row r="67" customFormat="false" ht="15" hidden="false" customHeight="true" outlineLevel="0" collapsed="false">
      <c r="B67" s="33" t="s">
        <v>186</v>
      </c>
      <c r="F67" s="126" t="n">
        <v>639.44</v>
      </c>
    </row>
    <row r="68" customFormat="false" ht="15" hidden="false" customHeight="true" outlineLevel="0" collapsed="false">
      <c r="B68" s="33" t="s">
        <v>463</v>
      </c>
      <c r="F68" s="126" t="n">
        <v>548.19</v>
      </c>
      <c r="J68" s="126" t="n">
        <v>153.9282355</v>
      </c>
    </row>
    <row r="69" customFormat="false" ht="15" hidden="false" customHeight="true" outlineLevel="0" collapsed="false">
      <c r="A69" s="33" t="s">
        <v>308</v>
      </c>
      <c r="Q69" s="33" t="s">
        <v>458</v>
      </c>
      <c r="R69" s="33" t="s">
        <v>459</v>
      </c>
    </row>
    <row r="70" customFormat="false" ht="15" hidden="false" customHeight="true" outlineLevel="0" collapsed="false">
      <c r="A70" s="33" t="s">
        <v>69</v>
      </c>
      <c r="Q70" s="126" t="n">
        <v>767411.2997</v>
      </c>
      <c r="R70" s="126" t="n">
        <v>63950.94164</v>
      </c>
    </row>
    <row r="73" customFormat="false" ht="15" hidden="false" customHeight="true" outlineLevel="0" collapsed="false">
      <c r="A73" s="33" t="s">
        <v>70</v>
      </c>
    </row>
    <row r="74" customFormat="false" ht="15" hidden="false" customHeight="true" outlineLevel="0" collapsed="false">
      <c r="B74" s="33" t="s">
        <v>444</v>
      </c>
      <c r="F74" s="126" t="n">
        <v>2306.7</v>
      </c>
      <c r="G74" s="33" t="s">
        <v>445</v>
      </c>
      <c r="L74" s="126" t="n">
        <v>2603.78</v>
      </c>
      <c r="M74" s="33" t="s">
        <v>446</v>
      </c>
      <c r="N74" s="126" t="n">
        <v>2587.59</v>
      </c>
      <c r="O74" s="33" t="s">
        <v>447</v>
      </c>
      <c r="P74" s="126" t="n">
        <v>0.9937821168</v>
      </c>
    </row>
    <row r="75" customFormat="false" ht="15" hidden="false" customHeight="true" outlineLevel="0" collapsed="false">
      <c r="A75" s="33" t="s">
        <v>151</v>
      </c>
      <c r="B75" s="33" t="s">
        <v>118</v>
      </c>
      <c r="C75" s="33" t="s">
        <v>152</v>
      </c>
      <c r="D75" s="33" t="s">
        <v>448</v>
      </c>
      <c r="E75" s="33" t="s">
        <v>449</v>
      </c>
      <c r="F75" s="33" t="s">
        <v>450</v>
      </c>
      <c r="G75" s="33" t="s">
        <v>451</v>
      </c>
      <c r="H75" s="33" t="s">
        <v>452</v>
      </c>
      <c r="I75" s="33" t="s">
        <v>453</v>
      </c>
      <c r="J75" s="33" t="s">
        <v>454</v>
      </c>
      <c r="K75" s="33" t="s">
        <v>455</v>
      </c>
      <c r="L75" s="33" t="s">
        <v>456</v>
      </c>
      <c r="M75" s="33" t="s">
        <v>457</v>
      </c>
      <c r="N75" s="33" t="s">
        <v>403</v>
      </c>
      <c r="Q75" s="33" t="s">
        <v>458</v>
      </c>
      <c r="R75" s="33" t="s">
        <v>459</v>
      </c>
      <c r="S75" s="33" t="s">
        <v>460</v>
      </c>
    </row>
    <row r="76" customFormat="false" ht="15" hidden="false" customHeight="true" outlineLevel="0" collapsed="false">
      <c r="A76" s="33" t="s">
        <v>159</v>
      </c>
      <c r="B76" s="33" t="s">
        <v>160</v>
      </c>
      <c r="C76" s="126" t="n">
        <v>1</v>
      </c>
      <c r="D76" s="33" t="s">
        <v>298</v>
      </c>
      <c r="F76" s="126" t="n">
        <v>113.4</v>
      </c>
      <c r="H76" s="126" t="n">
        <v>19.07616316</v>
      </c>
      <c r="J76" s="126" t="n">
        <v>27.29804502</v>
      </c>
      <c r="L76" s="126" t="n">
        <v>159.7742082</v>
      </c>
      <c r="M76" s="126" t="n">
        <v>1.408943635</v>
      </c>
      <c r="N76" s="126" t="n">
        <v>150</v>
      </c>
      <c r="Q76" s="126" t="n">
        <v>23966.13123</v>
      </c>
      <c r="R76" s="126" t="n">
        <v>1997.177602</v>
      </c>
    </row>
    <row r="77" customFormat="false" ht="15" hidden="false" customHeight="true" outlineLevel="0" collapsed="false">
      <c r="A77" s="126" t="n">
        <v>1205.72</v>
      </c>
      <c r="B77" s="33" t="s">
        <v>161</v>
      </c>
      <c r="C77" s="126" t="n">
        <v>1</v>
      </c>
      <c r="D77" s="33" t="s">
        <v>298</v>
      </c>
      <c r="F77" s="126" t="n">
        <v>171.22</v>
      </c>
      <c r="H77" s="126" t="n">
        <v>28.80265129</v>
      </c>
      <c r="J77" s="126" t="n">
        <v>41.21667785</v>
      </c>
      <c r="L77" s="126" t="n">
        <v>241.2393291</v>
      </c>
      <c r="M77" s="126" t="n">
        <v>1.408943635</v>
      </c>
      <c r="N77" s="126" t="n">
        <v>150</v>
      </c>
      <c r="Q77" s="126" t="n">
        <v>36185.89937</v>
      </c>
      <c r="R77" s="126" t="n">
        <v>3015.491614</v>
      </c>
    </row>
    <row r="78" customFormat="false" ht="15" hidden="false" customHeight="true" outlineLevel="0" collapsed="false">
      <c r="B78" s="33" t="s">
        <v>162</v>
      </c>
      <c r="C78" s="126" t="n">
        <v>1</v>
      </c>
      <c r="D78" s="33" t="s">
        <v>298</v>
      </c>
      <c r="F78" s="126" t="n">
        <v>228.62</v>
      </c>
      <c r="H78" s="126" t="n">
        <v>38.45848697</v>
      </c>
      <c r="J78" s="126" t="n">
        <v>55.03420681</v>
      </c>
      <c r="L78" s="126" t="n">
        <v>322.1126938</v>
      </c>
      <c r="M78" s="126" t="n">
        <v>1.408943635</v>
      </c>
      <c r="N78" s="126" t="n">
        <v>145</v>
      </c>
      <c r="Q78" s="126" t="n">
        <v>46706.3406</v>
      </c>
      <c r="R78" s="126" t="n">
        <v>3892.19505</v>
      </c>
    </row>
    <row r="79" customFormat="false" ht="15" hidden="false" customHeight="true" outlineLevel="0" collapsed="false">
      <c r="B79" s="33" t="s">
        <v>461</v>
      </c>
      <c r="C79" s="126" t="n">
        <v>1</v>
      </c>
      <c r="D79" s="33" t="s">
        <v>298</v>
      </c>
      <c r="F79" s="126" t="n">
        <v>518.86</v>
      </c>
      <c r="H79" s="126" t="n">
        <v>87.28269858</v>
      </c>
      <c r="J79" s="126" t="n">
        <v>124.9017958</v>
      </c>
      <c r="L79" s="126" t="n">
        <v>731.0444943</v>
      </c>
      <c r="M79" s="126" t="n">
        <v>1.408943635</v>
      </c>
      <c r="N79" s="126" t="n">
        <v>140</v>
      </c>
      <c r="Q79" s="126" t="n">
        <v>102346.2292</v>
      </c>
      <c r="R79" s="126" t="n">
        <v>8528.852434</v>
      </c>
    </row>
    <row r="80" customFormat="false" ht="15" hidden="false" customHeight="true" outlineLevel="0" collapsed="false">
      <c r="B80" s="33" t="s">
        <v>462</v>
      </c>
      <c r="D80" s="33" t="s">
        <v>302</v>
      </c>
      <c r="F80" s="126" t="n">
        <v>82.12</v>
      </c>
      <c r="S80" s="126" t="n">
        <v>209204.6004</v>
      </c>
    </row>
    <row r="81" customFormat="false" ht="15" hidden="false" customHeight="true" outlineLevel="0" collapsed="false">
      <c r="B81" s="33" t="s">
        <v>307</v>
      </c>
      <c r="D81" s="33" t="s">
        <v>306</v>
      </c>
      <c r="F81" s="126" t="n">
        <v>91.5</v>
      </c>
    </row>
    <row r="83" customFormat="false" ht="15" hidden="false" customHeight="true" outlineLevel="0" collapsed="false">
      <c r="B83" s="33" t="s">
        <v>186</v>
      </c>
      <c r="F83" s="126" t="n">
        <v>1032.1</v>
      </c>
    </row>
    <row r="84" customFormat="false" ht="15" hidden="false" customHeight="true" outlineLevel="0" collapsed="false">
      <c r="B84" s="33" t="s">
        <v>463</v>
      </c>
      <c r="F84" s="126" t="n">
        <v>173.62</v>
      </c>
      <c r="J84" s="126" t="n">
        <v>248.4507254</v>
      </c>
    </row>
    <row r="85" customFormat="false" ht="15" hidden="false" customHeight="true" outlineLevel="0" collapsed="false">
      <c r="A85" s="33" t="s">
        <v>151</v>
      </c>
      <c r="B85" s="33" t="s">
        <v>118</v>
      </c>
      <c r="C85" s="33" t="s">
        <v>152</v>
      </c>
      <c r="D85" s="33" t="s">
        <v>448</v>
      </c>
      <c r="E85" s="33" t="s">
        <v>449</v>
      </c>
      <c r="F85" s="33" t="s">
        <v>450</v>
      </c>
      <c r="G85" s="33" t="s">
        <v>451</v>
      </c>
      <c r="H85" s="33" t="s">
        <v>452</v>
      </c>
      <c r="I85" s="33" t="s">
        <v>453</v>
      </c>
      <c r="J85" s="33" t="s">
        <v>454</v>
      </c>
      <c r="K85" s="33" t="s">
        <v>455</v>
      </c>
      <c r="L85" s="33" t="s">
        <v>456</v>
      </c>
      <c r="M85" s="33" t="s">
        <v>457</v>
      </c>
      <c r="N85" s="33" t="s">
        <v>403</v>
      </c>
      <c r="O85" s="33" t="s">
        <v>464</v>
      </c>
      <c r="P85" s="33" t="s">
        <v>465</v>
      </c>
      <c r="Q85" s="33" t="s">
        <v>458</v>
      </c>
      <c r="R85" s="33" t="s">
        <v>459</v>
      </c>
      <c r="S85" s="33" t="s">
        <v>466</v>
      </c>
    </row>
    <row r="86" customFormat="false" ht="15" hidden="false" customHeight="true" outlineLevel="0" collapsed="false">
      <c r="A86" s="33" t="s">
        <v>164</v>
      </c>
      <c r="B86" s="33" t="s">
        <v>165</v>
      </c>
      <c r="C86" s="126" t="n">
        <v>4</v>
      </c>
      <c r="D86" s="33" t="s">
        <v>298</v>
      </c>
      <c r="E86" s="126" t="n">
        <v>27.08</v>
      </c>
      <c r="F86" s="126" t="n">
        <v>108.32</v>
      </c>
      <c r="G86" s="126" t="n">
        <v>26.22028198</v>
      </c>
      <c r="H86" s="126" t="n">
        <v>104.8811279</v>
      </c>
      <c r="I86" s="126" t="n">
        <v>6.518792408</v>
      </c>
      <c r="J86" s="126" t="n">
        <v>26.07516963</v>
      </c>
      <c r="K86" s="126" t="n">
        <v>59.81907439</v>
      </c>
      <c r="L86" s="126" t="n">
        <v>239.2762975</v>
      </c>
      <c r="M86" s="126" t="n">
        <v>2.208976159</v>
      </c>
      <c r="N86" s="126" t="n">
        <v>175</v>
      </c>
      <c r="O86" s="126" t="n">
        <v>10468.33802</v>
      </c>
      <c r="P86" s="126" t="n">
        <v>872.3615015</v>
      </c>
      <c r="Q86" s="126" t="n">
        <v>41873.35207</v>
      </c>
      <c r="R86" s="126" t="n">
        <v>3489.446006</v>
      </c>
    </row>
    <row r="87" customFormat="false" ht="15" hidden="false" customHeight="true" outlineLevel="0" collapsed="false">
      <c r="A87" s="126" t="n">
        <v>1192.21</v>
      </c>
      <c r="B87" s="33" t="s">
        <v>166</v>
      </c>
      <c r="C87" s="126" t="n">
        <v>4</v>
      </c>
      <c r="D87" s="33" t="s">
        <v>298</v>
      </c>
      <c r="E87" s="126" t="n">
        <v>39.73</v>
      </c>
      <c r="F87" s="126" t="n">
        <v>158.92</v>
      </c>
      <c r="G87" s="126" t="n">
        <v>38.4686781</v>
      </c>
      <c r="H87" s="126" t="n">
        <v>153.8747124</v>
      </c>
      <c r="I87" s="126" t="n">
        <v>9.563944697</v>
      </c>
      <c r="J87" s="126" t="n">
        <v>38.25577879</v>
      </c>
      <c r="K87" s="126" t="n">
        <v>87.7626228</v>
      </c>
      <c r="L87" s="126" t="n">
        <v>351.0504912</v>
      </c>
      <c r="M87" s="126" t="n">
        <v>2.208976159</v>
      </c>
      <c r="N87" s="126" t="n">
        <v>170</v>
      </c>
      <c r="O87" s="126" t="n">
        <v>14919.64588</v>
      </c>
      <c r="P87" s="126" t="n">
        <v>1243.303823</v>
      </c>
      <c r="Q87" s="126" t="n">
        <v>59678.5835</v>
      </c>
      <c r="R87" s="126" t="n">
        <v>4973.215292</v>
      </c>
    </row>
    <row r="88" customFormat="false" ht="15" hidden="false" customHeight="true" outlineLevel="0" collapsed="false">
      <c r="A88" s="33" t="s">
        <v>467</v>
      </c>
      <c r="B88" s="33" t="s">
        <v>167</v>
      </c>
      <c r="C88" s="126" t="n">
        <v>4</v>
      </c>
      <c r="D88" s="33" t="s">
        <v>298</v>
      </c>
      <c r="E88" s="126" t="n">
        <v>42.03</v>
      </c>
      <c r="F88" s="126" t="n">
        <v>168.12</v>
      </c>
      <c r="G88" s="126" t="n">
        <v>40.69565922</v>
      </c>
      <c r="H88" s="126" t="n">
        <v>162.7826369</v>
      </c>
      <c r="I88" s="126" t="n">
        <v>10.11760875</v>
      </c>
      <c r="J88" s="126" t="n">
        <v>40.470435</v>
      </c>
      <c r="K88" s="126" t="n">
        <v>92.84326796</v>
      </c>
      <c r="L88" s="126" t="n">
        <v>371.3730719</v>
      </c>
      <c r="M88" s="126" t="n">
        <v>2.208976159</v>
      </c>
      <c r="N88" s="126" t="n">
        <v>170</v>
      </c>
      <c r="O88" s="126" t="n">
        <v>15783.35555</v>
      </c>
      <c r="P88" s="126" t="n">
        <v>1315.279629</v>
      </c>
      <c r="Q88" s="126" t="n">
        <v>63133.42222</v>
      </c>
      <c r="R88" s="126" t="n">
        <v>5261.118518</v>
      </c>
    </row>
    <row r="89" customFormat="false" ht="15" hidden="false" customHeight="true" outlineLevel="0" collapsed="false">
      <c r="B89" s="33" t="s">
        <v>168</v>
      </c>
      <c r="C89" s="126" t="n">
        <v>4</v>
      </c>
      <c r="D89" s="33" t="s">
        <v>298</v>
      </c>
      <c r="E89" s="126" t="n">
        <v>42.59</v>
      </c>
      <c r="F89" s="126" t="n">
        <v>170.36</v>
      </c>
      <c r="G89" s="126" t="n">
        <v>41.2378807</v>
      </c>
      <c r="H89" s="126" t="n">
        <v>164.9515228</v>
      </c>
      <c r="I89" s="126" t="n">
        <v>10.25241391</v>
      </c>
      <c r="J89" s="126" t="n">
        <v>41.00965564</v>
      </c>
      <c r="K89" s="126" t="n">
        <v>94.08029461</v>
      </c>
      <c r="L89" s="126" t="n">
        <v>376.3211785</v>
      </c>
      <c r="M89" s="126" t="n">
        <v>2.208976159</v>
      </c>
      <c r="N89" s="126" t="n">
        <v>170</v>
      </c>
      <c r="O89" s="126" t="n">
        <v>15993.65008</v>
      </c>
      <c r="P89" s="126" t="n">
        <v>1332.804174</v>
      </c>
      <c r="Q89" s="126" t="n">
        <v>63974.60034</v>
      </c>
      <c r="R89" s="126" t="n">
        <v>5331.216695</v>
      </c>
    </row>
    <row r="90" customFormat="false" ht="15" hidden="false" customHeight="true" outlineLevel="0" collapsed="false">
      <c r="B90" s="33" t="s">
        <v>468</v>
      </c>
      <c r="C90" s="126" t="n">
        <v>4</v>
      </c>
      <c r="D90" s="33" t="s">
        <v>298</v>
      </c>
      <c r="E90" s="126" t="n">
        <v>36.8</v>
      </c>
      <c r="F90" s="126" t="n">
        <v>147.2</v>
      </c>
      <c r="S90" s="126" t="n">
        <v>228659.9581</v>
      </c>
    </row>
    <row r="91" customFormat="false" ht="15" hidden="false" customHeight="true" outlineLevel="0" collapsed="false">
      <c r="B91" s="33" t="s">
        <v>462</v>
      </c>
      <c r="D91" s="33" t="s">
        <v>302</v>
      </c>
      <c r="F91" s="126" t="n">
        <v>204.62</v>
      </c>
    </row>
    <row r="92" customFormat="false" ht="15" hidden="false" customHeight="true" outlineLevel="0" collapsed="false">
      <c r="B92" s="33" t="s">
        <v>469</v>
      </c>
      <c r="D92" s="33" t="s">
        <v>470</v>
      </c>
      <c r="F92" s="126" t="n">
        <v>105.25</v>
      </c>
    </row>
    <row r="93" customFormat="false" ht="15" hidden="false" customHeight="true" outlineLevel="0" collapsed="false">
      <c r="B93" s="33" t="s">
        <v>307</v>
      </c>
      <c r="D93" s="33" t="s">
        <v>306</v>
      </c>
      <c r="F93" s="126" t="n">
        <v>129.42</v>
      </c>
    </row>
    <row r="95" customFormat="false" ht="15" hidden="false" customHeight="true" outlineLevel="0" collapsed="false">
      <c r="B95" s="33" t="s">
        <v>186</v>
      </c>
      <c r="F95" s="126" t="n">
        <v>605.72</v>
      </c>
    </row>
    <row r="96" customFormat="false" ht="15" hidden="false" customHeight="true" outlineLevel="0" collapsed="false">
      <c r="B96" s="33" t="s">
        <v>463</v>
      </c>
      <c r="F96" s="126" t="n">
        <v>586.49</v>
      </c>
      <c r="J96" s="126" t="n">
        <v>145.8110391</v>
      </c>
    </row>
    <row r="97" customFormat="false" ht="15" hidden="false" customHeight="true" outlineLevel="0" collapsed="false">
      <c r="A97" s="33" t="s">
        <v>151</v>
      </c>
      <c r="B97" s="33" t="s">
        <v>118</v>
      </c>
      <c r="C97" s="33" t="s">
        <v>152</v>
      </c>
      <c r="D97" s="33" t="s">
        <v>448</v>
      </c>
      <c r="E97" s="33" t="s">
        <v>449</v>
      </c>
      <c r="F97" s="33" t="s">
        <v>450</v>
      </c>
      <c r="N97" s="33" t="s">
        <v>403</v>
      </c>
      <c r="O97" s="33" t="s">
        <v>464</v>
      </c>
      <c r="P97" s="33" t="s">
        <v>465</v>
      </c>
      <c r="Q97" s="33" t="s">
        <v>458</v>
      </c>
      <c r="R97" s="33" t="s">
        <v>459</v>
      </c>
      <c r="S97" s="33" t="s">
        <v>471</v>
      </c>
    </row>
    <row r="98" customFormat="false" ht="15" hidden="false" customHeight="true" outlineLevel="0" collapsed="false">
      <c r="A98" s="33" t="s">
        <v>171</v>
      </c>
      <c r="B98" s="33" t="s">
        <v>472</v>
      </c>
      <c r="C98" s="126" t="n">
        <v>12</v>
      </c>
      <c r="D98" s="33" t="s">
        <v>298</v>
      </c>
      <c r="E98" s="126" t="n">
        <v>25.38</v>
      </c>
      <c r="F98" s="126" t="n">
        <v>304.56</v>
      </c>
      <c r="N98" s="126" t="n">
        <v>400</v>
      </c>
      <c r="O98" s="126" t="n">
        <v>10152</v>
      </c>
      <c r="P98" s="126" t="n">
        <v>846</v>
      </c>
      <c r="Q98" s="126" t="n">
        <v>121824</v>
      </c>
      <c r="R98" s="126" t="n">
        <v>10152</v>
      </c>
    </row>
    <row r="99" customFormat="false" ht="15" hidden="false" customHeight="true" outlineLevel="0" collapsed="false">
      <c r="A99" s="126" t="n">
        <v>1179.36</v>
      </c>
      <c r="B99" s="33" t="s">
        <v>473</v>
      </c>
      <c r="C99" s="126" t="n">
        <v>4</v>
      </c>
      <c r="D99" s="33" t="s">
        <v>298</v>
      </c>
      <c r="E99" s="126" t="n">
        <v>38.03</v>
      </c>
      <c r="F99" s="126" t="n">
        <v>152.12</v>
      </c>
      <c r="N99" s="126" t="n">
        <v>380</v>
      </c>
      <c r="O99" s="126" t="n">
        <v>14451.4</v>
      </c>
      <c r="P99" s="126" t="n">
        <v>1204.283333</v>
      </c>
      <c r="Q99" s="126" t="n">
        <v>57805.6</v>
      </c>
      <c r="R99" s="126" t="n">
        <v>4817.133333</v>
      </c>
    </row>
    <row r="100" customFormat="false" ht="15" hidden="false" customHeight="true" outlineLevel="0" collapsed="false">
      <c r="B100" s="33" t="s">
        <v>474</v>
      </c>
      <c r="C100" s="126" t="n">
        <v>4</v>
      </c>
      <c r="D100" s="33" t="s">
        <v>298</v>
      </c>
      <c r="E100" s="126" t="n">
        <v>53.05</v>
      </c>
      <c r="F100" s="126" t="n">
        <v>212.2</v>
      </c>
      <c r="N100" s="126" t="n">
        <v>370</v>
      </c>
      <c r="O100" s="126" t="n">
        <v>19628.5</v>
      </c>
      <c r="P100" s="126" t="n">
        <v>1635.708333</v>
      </c>
      <c r="Q100" s="126" t="n">
        <v>78514</v>
      </c>
      <c r="R100" s="126" t="n">
        <v>6542.833333</v>
      </c>
    </row>
    <row r="101" customFormat="false" ht="15" hidden="false" customHeight="true" outlineLevel="0" collapsed="false">
      <c r="B101" s="33" t="s">
        <v>475</v>
      </c>
      <c r="C101" s="126" t="n">
        <v>4</v>
      </c>
      <c r="D101" s="33" t="s">
        <v>298</v>
      </c>
      <c r="E101" s="126" t="n">
        <v>37.47</v>
      </c>
      <c r="F101" s="126" t="n">
        <v>149.88</v>
      </c>
      <c r="S101" s="126" t="n">
        <v>258143.6</v>
      </c>
    </row>
    <row r="102" customFormat="false" ht="15" hidden="false" customHeight="true" outlineLevel="0" collapsed="false">
      <c r="B102" s="33" t="s">
        <v>462</v>
      </c>
      <c r="D102" s="33" t="s">
        <v>302</v>
      </c>
      <c r="F102" s="126" t="n">
        <v>204.16</v>
      </c>
    </row>
    <row r="103" customFormat="false" ht="15" hidden="false" customHeight="true" outlineLevel="0" collapsed="false">
      <c r="B103" s="33" t="s">
        <v>307</v>
      </c>
      <c r="D103" s="33" t="s">
        <v>306</v>
      </c>
      <c r="F103" s="126" t="n">
        <v>156.44</v>
      </c>
    </row>
    <row r="105" customFormat="false" ht="15" hidden="false" customHeight="true" outlineLevel="0" collapsed="false">
      <c r="B105" s="33" t="s">
        <v>186</v>
      </c>
      <c r="F105" s="126" t="n">
        <v>668.88</v>
      </c>
    </row>
    <row r="106" customFormat="false" ht="15" hidden="false" customHeight="true" outlineLevel="0" collapsed="false">
      <c r="B106" s="33" t="s">
        <v>463</v>
      </c>
      <c r="F106" s="126" t="n">
        <v>510.48</v>
      </c>
    </row>
    <row r="107" customFormat="false" ht="15" hidden="false" customHeight="true" outlineLevel="0" collapsed="false">
      <c r="A107" s="33" t="s">
        <v>151</v>
      </c>
      <c r="B107" s="33" t="s">
        <v>118</v>
      </c>
      <c r="C107" s="33" t="s">
        <v>152</v>
      </c>
      <c r="D107" s="33" t="s">
        <v>448</v>
      </c>
      <c r="E107" s="33" t="s">
        <v>449</v>
      </c>
      <c r="F107" s="33" t="s">
        <v>450</v>
      </c>
      <c r="I107" s="33" t="s">
        <v>453</v>
      </c>
      <c r="J107" s="33" t="s">
        <v>454</v>
      </c>
      <c r="K107" s="33" t="s">
        <v>455</v>
      </c>
      <c r="L107" s="33" t="s">
        <v>456</v>
      </c>
      <c r="M107" s="33" t="s">
        <v>457</v>
      </c>
      <c r="N107" s="33" t="s">
        <v>403</v>
      </c>
      <c r="O107" s="33" t="s">
        <v>464</v>
      </c>
      <c r="P107" s="33" t="s">
        <v>465</v>
      </c>
      <c r="Q107" s="33" t="s">
        <v>458</v>
      </c>
      <c r="R107" s="33" t="s">
        <v>459</v>
      </c>
      <c r="S107" s="33" t="s">
        <v>476</v>
      </c>
    </row>
    <row r="108" customFormat="false" ht="15" hidden="false" customHeight="true" outlineLevel="0" collapsed="false">
      <c r="A108" s="33" t="s">
        <v>175</v>
      </c>
      <c r="B108" s="33" t="s">
        <v>160</v>
      </c>
      <c r="C108" s="126" t="n">
        <v>4</v>
      </c>
      <c r="D108" s="33" t="s">
        <v>300</v>
      </c>
      <c r="E108" s="126" t="n">
        <v>61.14</v>
      </c>
      <c r="F108" s="126" t="n">
        <v>244.56</v>
      </c>
      <c r="I108" s="126" t="n">
        <v>14.71783485</v>
      </c>
      <c r="J108" s="126" t="n">
        <v>58.87133942</v>
      </c>
      <c r="K108" s="126" t="n">
        <v>75.85783485</v>
      </c>
      <c r="L108" s="126" t="n">
        <v>303.4313394</v>
      </c>
      <c r="M108" s="126" t="n">
        <v>1.240723501</v>
      </c>
      <c r="N108" s="126" t="n">
        <v>90</v>
      </c>
      <c r="O108" s="126" t="n">
        <v>6827.205137</v>
      </c>
      <c r="P108" s="126" t="n">
        <v>568.9337614</v>
      </c>
      <c r="Q108" s="126" t="n">
        <v>27308.82055</v>
      </c>
      <c r="R108" s="126" t="n">
        <v>2275.735046</v>
      </c>
    </row>
    <row r="109" customFormat="false" ht="15" hidden="false" customHeight="true" outlineLevel="0" collapsed="false">
      <c r="A109" s="126" t="n">
        <v>1187.63</v>
      </c>
      <c r="B109" s="33" t="s">
        <v>161</v>
      </c>
      <c r="C109" s="126" t="n">
        <v>2</v>
      </c>
      <c r="D109" s="33" t="s">
        <v>300</v>
      </c>
      <c r="E109" s="126" t="n">
        <v>61.24</v>
      </c>
      <c r="F109" s="126" t="n">
        <v>122.48</v>
      </c>
      <c r="I109" s="126" t="n">
        <v>14.7419072</v>
      </c>
      <c r="J109" s="126" t="n">
        <v>29.48381441</v>
      </c>
      <c r="K109" s="126" t="n">
        <v>75.9819072</v>
      </c>
      <c r="L109" s="126" t="n">
        <v>151.9638144</v>
      </c>
      <c r="M109" s="126" t="n">
        <v>1.240723501</v>
      </c>
      <c r="N109" s="126" t="n">
        <v>90</v>
      </c>
      <c r="O109" s="126" t="n">
        <v>6838.371648</v>
      </c>
      <c r="P109" s="126" t="n">
        <v>569.864304</v>
      </c>
      <c r="Q109" s="126" t="n">
        <v>13676.7433</v>
      </c>
      <c r="R109" s="126" t="n">
        <v>1139.728608</v>
      </c>
    </row>
    <row r="110" customFormat="false" ht="15" hidden="false" customHeight="true" outlineLevel="0" collapsed="false">
      <c r="B110" s="33" t="s">
        <v>162</v>
      </c>
      <c r="C110" s="126" t="n">
        <v>4</v>
      </c>
      <c r="D110" s="33" t="s">
        <v>300</v>
      </c>
      <c r="E110" s="126" t="n">
        <v>68.1</v>
      </c>
      <c r="F110" s="126" t="n">
        <v>272.4</v>
      </c>
      <c r="I110" s="126" t="n">
        <v>16.39327042</v>
      </c>
      <c r="J110" s="126" t="n">
        <v>65.57308169</v>
      </c>
      <c r="K110" s="126" t="n">
        <v>84.49327042</v>
      </c>
      <c r="L110" s="126" t="n">
        <v>337.9730817</v>
      </c>
      <c r="M110" s="126" t="n">
        <v>1.240723501</v>
      </c>
      <c r="N110" s="126" t="n">
        <v>90</v>
      </c>
      <c r="O110" s="126" t="n">
        <v>7604.394338</v>
      </c>
      <c r="P110" s="126" t="n">
        <v>633.6995282</v>
      </c>
      <c r="Q110" s="126" t="n">
        <v>30417.57735</v>
      </c>
      <c r="R110" s="126" t="n">
        <v>2534.798113</v>
      </c>
    </row>
    <row r="111" customFormat="false" ht="15" hidden="false" customHeight="true" outlineLevel="0" collapsed="false">
      <c r="B111" s="33" t="s">
        <v>477</v>
      </c>
      <c r="D111" s="33" t="s">
        <v>302</v>
      </c>
      <c r="F111" s="126" t="n">
        <v>187.78</v>
      </c>
      <c r="S111" s="126" t="n">
        <v>71403.1412</v>
      </c>
    </row>
    <row r="112" customFormat="false" ht="15" hidden="false" customHeight="true" outlineLevel="0" collapsed="false">
      <c r="B112" s="33" t="s">
        <v>478</v>
      </c>
      <c r="D112" s="33" t="s">
        <v>300</v>
      </c>
      <c r="F112" s="126" t="n">
        <v>20.94</v>
      </c>
    </row>
    <row r="113" customFormat="false" ht="15" hidden="false" customHeight="true" outlineLevel="0" collapsed="false">
      <c r="B113" s="33" t="s">
        <v>479</v>
      </c>
      <c r="D113" s="33" t="s">
        <v>300</v>
      </c>
      <c r="F113" s="126" t="n">
        <v>54.32</v>
      </c>
    </row>
    <row r="114" customFormat="false" ht="15" hidden="false" customHeight="true" outlineLevel="0" collapsed="false">
      <c r="B114" s="33" t="s">
        <v>231</v>
      </c>
      <c r="D114" s="33" t="s">
        <v>304</v>
      </c>
      <c r="F114" s="126" t="n">
        <v>30.9</v>
      </c>
    </row>
    <row r="115" customFormat="false" ht="15" hidden="false" customHeight="true" outlineLevel="0" collapsed="false">
      <c r="B115" s="33" t="s">
        <v>480</v>
      </c>
      <c r="D115" s="33" t="s">
        <v>306</v>
      </c>
      <c r="F115" s="126" t="n">
        <v>254.25</v>
      </c>
    </row>
    <row r="117" customFormat="false" ht="15" hidden="false" customHeight="true" outlineLevel="0" collapsed="false">
      <c r="B117" s="33" t="s">
        <v>186</v>
      </c>
      <c r="F117" s="126" t="n">
        <v>639.44</v>
      </c>
    </row>
    <row r="118" customFormat="false" ht="15" hidden="false" customHeight="true" outlineLevel="0" collapsed="false">
      <c r="B118" s="33" t="s">
        <v>463</v>
      </c>
      <c r="F118" s="126" t="n">
        <v>548.19</v>
      </c>
      <c r="J118" s="126" t="n">
        <v>153.9282355</v>
      </c>
    </row>
    <row r="119" customFormat="false" ht="15" hidden="false" customHeight="true" outlineLevel="0" collapsed="false">
      <c r="A119" s="33" t="s">
        <v>308</v>
      </c>
      <c r="Q119" s="33" t="s">
        <v>458</v>
      </c>
      <c r="R119" s="33" t="s">
        <v>459</v>
      </c>
    </row>
    <row r="120" customFormat="false" ht="15" hidden="false" customHeight="true" outlineLevel="0" collapsed="false">
      <c r="A120" s="33" t="s">
        <v>70</v>
      </c>
      <c r="Q120" s="126" t="n">
        <v>767411.2997</v>
      </c>
      <c r="R120" s="126" t="n">
        <v>63950.94164</v>
      </c>
    </row>
    <row r="123" customFormat="false" ht="15" hidden="false" customHeight="true" outlineLevel="0" collapsed="false">
      <c r="A123" s="33" t="s">
        <v>71</v>
      </c>
    </row>
    <row r="124" customFormat="false" ht="15" hidden="false" customHeight="true" outlineLevel="0" collapsed="false">
      <c r="B124" s="33" t="s">
        <v>444</v>
      </c>
      <c r="F124" s="126" t="n">
        <v>2438.42</v>
      </c>
      <c r="G124" s="33" t="s">
        <v>445</v>
      </c>
      <c r="L124" s="126" t="n">
        <v>2661.9</v>
      </c>
      <c r="M124" s="33" t="s">
        <v>446</v>
      </c>
      <c r="N124" s="126" t="n">
        <v>2645.73</v>
      </c>
      <c r="O124" s="33" t="s">
        <v>447</v>
      </c>
      <c r="P124" s="126" t="n">
        <v>0.9939253916</v>
      </c>
    </row>
    <row r="125" customFormat="false" ht="15" hidden="false" customHeight="true" outlineLevel="0" collapsed="false">
      <c r="A125" s="33" t="s">
        <v>151</v>
      </c>
      <c r="B125" s="33" t="s">
        <v>118</v>
      </c>
      <c r="C125" s="33" t="s">
        <v>152</v>
      </c>
      <c r="D125" s="33" t="s">
        <v>448</v>
      </c>
      <c r="E125" s="33" t="s">
        <v>449</v>
      </c>
      <c r="F125" s="33" t="s">
        <v>450</v>
      </c>
      <c r="G125" s="33" t="s">
        <v>451</v>
      </c>
      <c r="H125" s="33" t="s">
        <v>452</v>
      </c>
      <c r="I125" s="33" t="s">
        <v>453</v>
      </c>
      <c r="J125" s="33" t="s">
        <v>454</v>
      </c>
      <c r="K125" s="33" t="s">
        <v>455</v>
      </c>
      <c r="L125" s="33" t="s">
        <v>456</v>
      </c>
      <c r="M125" s="33" t="s">
        <v>457</v>
      </c>
      <c r="N125" s="33" t="s">
        <v>403</v>
      </c>
      <c r="O125" s="33" t="s">
        <v>464</v>
      </c>
      <c r="P125" s="33" t="s">
        <v>465</v>
      </c>
      <c r="Q125" s="33" t="s">
        <v>458</v>
      </c>
      <c r="R125" s="33" t="s">
        <v>459</v>
      </c>
      <c r="S125" s="33" t="s">
        <v>460</v>
      </c>
    </row>
    <row r="126" customFormat="false" ht="15" hidden="false" customHeight="true" outlineLevel="0" collapsed="false">
      <c r="A126" s="33" t="s">
        <v>159</v>
      </c>
      <c r="B126" s="33" t="s">
        <v>481</v>
      </c>
      <c r="C126" s="126" t="n">
        <v>1</v>
      </c>
      <c r="D126" s="33" t="s">
        <v>298</v>
      </c>
      <c r="F126" s="126" t="n">
        <v>516.66</v>
      </c>
      <c r="H126" s="126" t="n">
        <v>84.91920195</v>
      </c>
      <c r="J126" s="126" t="n">
        <v>117.5716882</v>
      </c>
      <c r="L126" s="126" t="n">
        <v>719.1508901</v>
      </c>
      <c r="M126" s="126" t="n">
        <v>1.391922909</v>
      </c>
      <c r="N126" s="126" t="n">
        <v>140</v>
      </c>
      <c r="Q126" s="126" t="n">
        <v>100681.1246</v>
      </c>
      <c r="R126" s="126" t="n">
        <v>8390.093718</v>
      </c>
    </row>
    <row r="127" customFormat="false" ht="15" hidden="false" customHeight="true" outlineLevel="0" collapsed="false">
      <c r="A127" s="126" t="n">
        <v>1205.72</v>
      </c>
      <c r="B127" s="33" t="s">
        <v>482</v>
      </c>
      <c r="C127" s="126" t="n">
        <v>1</v>
      </c>
      <c r="D127" s="33" t="s">
        <v>298</v>
      </c>
      <c r="F127" s="126" t="n">
        <v>518.86</v>
      </c>
      <c r="H127" s="126" t="n">
        <v>85.28079805</v>
      </c>
      <c r="J127" s="126" t="n">
        <v>118.0723225</v>
      </c>
      <c r="L127" s="126" t="n">
        <v>722.2131205</v>
      </c>
      <c r="M127" s="126" t="n">
        <v>1.391922909</v>
      </c>
      <c r="N127" s="126" t="n">
        <v>140</v>
      </c>
      <c r="Q127" s="126" t="n">
        <v>101109.8369</v>
      </c>
      <c r="R127" s="126" t="n">
        <v>8425.81974</v>
      </c>
    </row>
    <row r="128" customFormat="false" ht="15" hidden="false" customHeight="true" outlineLevel="0" collapsed="false">
      <c r="B128" s="33" t="s">
        <v>462</v>
      </c>
      <c r="D128" s="33" t="s">
        <v>302</v>
      </c>
      <c r="F128" s="126" t="n">
        <v>82.12</v>
      </c>
      <c r="S128" s="126" t="n">
        <v>201790.9615</v>
      </c>
    </row>
    <row r="129" customFormat="false" ht="15" hidden="false" customHeight="true" outlineLevel="0" collapsed="false">
      <c r="B129" s="33" t="s">
        <v>307</v>
      </c>
      <c r="D129" s="33" t="s">
        <v>306</v>
      </c>
      <c r="F129" s="126" t="n">
        <v>88.08</v>
      </c>
    </row>
    <row r="131" customFormat="false" ht="15" hidden="false" customHeight="true" outlineLevel="0" collapsed="false">
      <c r="B131" s="33" t="s">
        <v>186</v>
      </c>
      <c r="F131" s="126" t="n">
        <v>1035.52</v>
      </c>
    </row>
    <row r="132" customFormat="false" ht="15" hidden="false" customHeight="true" outlineLevel="0" collapsed="false">
      <c r="B132" s="33" t="s">
        <v>463</v>
      </c>
      <c r="F132" s="126" t="n">
        <v>170.2</v>
      </c>
      <c r="J132" s="126" t="n">
        <v>235.6440107</v>
      </c>
    </row>
    <row r="133" customFormat="false" ht="15" hidden="false" customHeight="true" outlineLevel="0" collapsed="false">
      <c r="A133" s="33" t="s">
        <v>151</v>
      </c>
      <c r="B133" s="33" t="s">
        <v>118</v>
      </c>
      <c r="C133" s="33" t="s">
        <v>152</v>
      </c>
      <c r="D133" s="33" t="s">
        <v>448</v>
      </c>
      <c r="E133" s="33" t="s">
        <v>449</v>
      </c>
      <c r="F133" s="33" t="s">
        <v>450</v>
      </c>
      <c r="G133" s="33" t="s">
        <v>451</v>
      </c>
      <c r="H133" s="33" t="s">
        <v>452</v>
      </c>
      <c r="I133" s="33" t="s">
        <v>453</v>
      </c>
      <c r="J133" s="33" t="s">
        <v>454</v>
      </c>
      <c r="K133" s="33" t="s">
        <v>455</v>
      </c>
      <c r="L133" s="33" t="s">
        <v>456</v>
      </c>
      <c r="M133" s="33" t="s">
        <v>457</v>
      </c>
      <c r="N133" s="33" t="s">
        <v>403</v>
      </c>
      <c r="O133" s="33" t="s">
        <v>464</v>
      </c>
      <c r="P133" s="33" t="s">
        <v>465</v>
      </c>
      <c r="Q133" s="33" t="s">
        <v>458</v>
      </c>
      <c r="R133" s="33" t="s">
        <v>459</v>
      </c>
      <c r="S133" s="33" t="s">
        <v>466</v>
      </c>
    </row>
    <row r="134" customFormat="false" ht="15" hidden="false" customHeight="true" outlineLevel="0" collapsed="false">
      <c r="A134" s="33" t="s">
        <v>164</v>
      </c>
      <c r="B134" s="33" t="s">
        <v>165</v>
      </c>
      <c r="C134" s="126" t="n">
        <v>2</v>
      </c>
      <c r="D134" s="33" t="s">
        <v>298</v>
      </c>
      <c r="E134" s="126" t="n">
        <v>27.08</v>
      </c>
      <c r="F134" s="126" t="n">
        <v>54.16</v>
      </c>
      <c r="G134" s="126" t="n">
        <v>16.90387891</v>
      </c>
      <c r="H134" s="126" t="n">
        <v>33.80775783</v>
      </c>
      <c r="I134" s="126" t="n">
        <v>6.162353029</v>
      </c>
      <c r="J134" s="126" t="n">
        <v>12.32470606</v>
      </c>
      <c r="K134" s="126" t="n">
        <v>50.14623194</v>
      </c>
      <c r="L134" s="126" t="n">
        <v>100.2924639</v>
      </c>
      <c r="M134" s="126" t="n">
        <v>1.851781091</v>
      </c>
      <c r="N134" s="126" t="n">
        <v>175</v>
      </c>
      <c r="O134" s="126" t="n">
        <v>8775.59059</v>
      </c>
      <c r="P134" s="126" t="n">
        <v>731.2992158</v>
      </c>
      <c r="Q134" s="126" t="n">
        <v>17551.18118</v>
      </c>
      <c r="R134" s="126" t="n">
        <v>1462.598432</v>
      </c>
    </row>
    <row r="135" customFormat="false" ht="15" hidden="false" customHeight="true" outlineLevel="0" collapsed="false">
      <c r="A135" s="126" t="n">
        <v>1192.21</v>
      </c>
      <c r="B135" s="33" t="s">
        <v>166</v>
      </c>
      <c r="C135" s="126" t="n">
        <v>2</v>
      </c>
      <c r="D135" s="33" t="s">
        <v>298</v>
      </c>
      <c r="E135" s="126" t="n">
        <v>39.73</v>
      </c>
      <c r="F135" s="126" t="n">
        <v>79.46</v>
      </c>
      <c r="G135" s="126" t="n">
        <v>24.80026253</v>
      </c>
      <c r="H135" s="126" t="n">
        <v>49.60052505</v>
      </c>
      <c r="I135" s="126" t="n">
        <v>9.041000216</v>
      </c>
      <c r="J135" s="126" t="n">
        <v>18.08200043</v>
      </c>
      <c r="K135" s="126" t="n">
        <v>73.57126274</v>
      </c>
      <c r="L135" s="126" t="n">
        <v>147.1425255</v>
      </c>
      <c r="M135" s="126" t="n">
        <v>1.851781091</v>
      </c>
      <c r="N135" s="126" t="n">
        <v>170</v>
      </c>
      <c r="O135" s="126" t="n">
        <v>12507.11467</v>
      </c>
      <c r="P135" s="126" t="n">
        <v>1042.259556</v>
      </c>
      <c r="Q135" s="126" t="n">
        <v>25014.22933</v>
      </c>
      <c r="R135" s="126" t="n">
        <v>2084.519111</v>
      </c>
    </row>
    <row r="136" customFormat="false" ht="15" hidden="false" customHeight="true" outlineLevel="0" collapsed="false">
      <c r="B136" s="33" t="s">
        <v>167</v>
      </c>
      <c r="C136" s="126" t="n">
        <v>2</v>
      </c>
      <c r="D136" s="33" t="s">
        <v>298</v>
      </c>
      <c r="E136" s="126" t="n">
        <v>42.03</v>
      </c>
      <c r="F136" s="126" t="n">
        <v>84.06</v>
      </c>
      <c r="G136" s="126" t="n">
        <v>26.23596864</v>
      </c>
      <c r="H136" s="126" t="n">
        <v>52.47193728</v>
      </c>
      <c r="I136" s="126" t="n">
        <v>9.564390613</v>
      </c>
      <c r="J136" s="126" t="n">
        <v>19.12878123</v>
      </c>
      <c r="K136" s="126" t="n">
        <v>77.83035925</v>
      </c>
      <c r="L136" s="126" t="n">
        <v>155.6607185</v>
      </c>
      <c r="M136" s="126" t="n">
        <v>1.851781091</v>
      </c>
      <c r="N136" s="126" t="n">
        <v>170</v>
      </c>
      <c r="O136" s="126" t="n">
        <v>13231.16107</v>
      </c>
      <c r="P136" s="126" t="n">
        <v>1102.596756</v>
      </c>
      <c r="Q136" s="126" t="n">
        <v>26462.32215</v>
      </c>
      <c r="R136" s="126" t="n">
        <v>2205.193512</v>
      </c>
    </row>
    <row r="137" customFormat="false" ht="15" hidden="false" customHeight="true" outlineLevel="0" collapsed="false">
      <c r="B137" s="33" t="s">
        <v>168</v>
      </c>
      <c r="C137" s="126" t="n">
        <v>2</v>
      </c>
      <c r="D137" s="33" t="s">
        <v>298</v>
      </c>
      <c r="E137" s="126" t="n">
        <v>42.59</v>
      </c>
      <c r="F137" s="126" t="n">
        <v>85.18</v>
      </c>
      <c r="G137" s="126" t="n">
        <v>26.58553187</v>
      </c>
      <c r="H137" s="126" t="n">
        <v>53.17106373</v>
      </c>
      <c r="I137" s="126" t="n">
        <v>9.691824797</v>
      </c>
      <c r="J137" s="126" t="n">
        <v>19.38364959</v>
      </c>
      <c r="K137" s="126" t="n">
        <v>78.86735666</v>
      </c>
      <c r="L137" s="126" t="n">
        <v>157.7347133</v>
      </c>
      <c r="M137" s="126" t="n">
        <v>1.851781091</v>
      </c>
      <c r="N137" s="126" t="n">
        <v>170</v>
      </c>
      <c r="O137" s="126" t="n">
        <v>13407.45063</v>
      </c>
      <c r="P137" s="126" t="n">
        <v>1117.287553</v>
      </c>
      <c r="Q137" s="126" t="n">
        <v>26814.90127</v>
      </c>
      <c r="R137" s="126" t="n">
        <v>2234.575105</v>
      </c>
    </row>
    <row r="138" customFormat="false" ht="15" hidden="false" customHeight="true" outlineLevel="0" collapsed="false">
      <c r="B138" s="33" t="s">
        <v>169</v>
      </c>
      <c r="C138" s="126" t="n">
        <v>2</v>
      </c>
      <c r="D138" s="33" t="s">
        <v>298</v>
      </c>
      <c r="E138" s="126" t="n">
        <v>102.58</v>
      </c>
      <c r="F138" s="126" t="n">
        <v>205.16</v>
      </c>
      <c r="G138" s="126" t="n">
        <v>64.03249258</v>
      </c>
      <c r="H138" s="126" t="n">
        <v>128.0649852</v>
      </c>
      <c r="I138" s="126" t="n">
        <v>23.34321173</v>
      </c>
      <c r="J138" s="126" t="n">
        <v>46.68642347</v>
      </c>
      <c r="K138" s="126" t="n">
        <v>189.9557043</v>
      </c>
      <c r="L138" s="126" t="n">
        <v>379.9114086</v>
      </c>
      <c r="M138" s="126" t="n">
        <v>1.851781091</v>
      </c>
      <c r="N138" s="126" t="n">
        <v>150</v>
      </c>
      <c r="O138" s="126" t="n">
        <v>28493.35565</v>
      </c>
      <c r="P138" s="126" t="n">
        <v>2374.446304</v>
      </c>
      <c r="Q138" s="126" t="n">
        <v>56986.71129</v>
      </c>
      <c r="R138" s="126" t="n">
        <v>4748.892608</v>
      </c>
    </row>
    <row r="139" customFormat="false" ht="15" hidden="false" customHeight="true" outlineLevel="0" collapsed="false">
      <c r="B139" s="33" t="s">
        <v>170</v>
      </c>
      <c r="C139" s="126" t="n">
        <v>2</v>
      </c>
      <c r="D139" s="33" t="s">
        <v>298</v>
      </c>
      <c r="E139" s="126" t="n">
        <v>113</v>
      </c>
      <c r="F139" s="126" t="n">
        <v>226</v>
      </c>
      <c r="G139" s="126" t="n">
        <v>70.53686548</v>
      </c>
      <c r="H139" s="126" t="n">
        <v>141.073731</v>
      </c>
      <c r="I139" s="126" t="n">
        <v>25.71439779</v>
      </c>
      <c r="J139" s="126" t="n">
        <v>51.42879559</v>
      </c>
      <c r="K139" s="126" t="n">
        <v>209.2512633</v>
      </c>
      <c r="L139" s="126" t="n">
        <v>418.5025266</v>
      </c>
      <c r="M139" s="126" t="n">
        <v>1.851781091</v>
      </c>
      <c r="N139" s="126" t="n">
        <v>150</v>
      </c>
      <c r="O139" s="126" t="n">
        <v>31387.68949</v>
      </c>
      <c r="P139" s="126" t="n">
        <v>2615.640791</v>
      </c>
      <c r="Q139" s="126" t="n">
        <v>62775.37898</v>
      </c>
      <c r="R139" s="126" t="n">
        <v>5231.281582</v>
      </c>
    </row>
    <row r="140" customFormat="false" ht="15" hidden="false" customHeight="true" outlineLevel="0" collapsed="false">
      <c r="B140" s="33" t="s">
        <v>468</v>
      </c>
      <c r="C140" s="126" t="n">
        <v>2</v>
      </c>
      <c r="D140" s="33" t="s">
        <v>298</v>
      </c>
      <c r="E140" s="126" t="n">
        <v>36.8</v>
      </c>
      <c r="F140" s="126" t="n">
        <v>73.6</v>
      </c>
      <c r="S140" s="126" t="n">
        <v>215604.7242</v>
      </c>
    </row>
    <row r="141" customFormat="false" ht="15" hidden="false" customHeight="true" outlineLevel="0" collapsed="false">
      <c r="B141" s="33" t="s">
        <v>462</v>
      </c>
      <c r="D141" s="33" t="s">
        <v>302</v>
      </c>
      <c r="F141" s="126" t="n">
        <v>160.67</v>
      </c>
    </row>
    <row r="142" customFormat="false" ht="15" hidden="false" customHeight="true" outlineLevel="0" collapsed="false">
      <c r="B142" s="33" t="s">
        <v>469</v>
      </c>
      <c r="D142" s="33" t="s">
        <v>470</v>
      </c>
      <c r="F142" s="126" t="n">
        <v>105.25</v>
      </c>
    </row>
    <row r="143" customFormat="false" ht="15" hidden="false" customHeight="true" outlineLevel="0" collapsed="false">
      <c r="B143" s="33" t="s">
        <v>307</v>
      </c>
      <c r="D143" s="33" t="s">
        <v>306</v>
      </c>
      <c r="F143" s="126" t="n">
        <v>118.67</v>
      </c>
    </row>
    <row r="145" customFormat="false" ht="15" hidden="false" customHeight="true" outlineLevel="0" collapsed="false">
      <c r="B145" s="33" t="s">
        <v>186</v>
      </c>
      <c r="F145" s="126" t="n">
        <v>734.02</v>
      </c>
    </row>
    <row r="146" customFormat="false" ht="15" hidden="false" customHeight="true" outlineLevel="0" collapsed="false">
      <c r="B146" s="33" t="s">
        <v>463</v>
      </c>
      <c r="F146" s="126" t="n">
        <v>458.19</v>
      </c>
      <c r="J146" s="126" t="n">
        <v>167.0343564</v>
      </c>
    </row>
    <row r="147" customFormat="false" ht="15" hidden="false" customHeight="true" outlineLevel="0" collapsed="false">
      <c r="A147" s="33" t="s">
        <v>151</v>
      </c>
      <c r="B147" s="33" t="s">
        <v>118</v>
      </c>
      <c r="C147" s="33" t="s">
        <v>152</v>
      </c>
      <c r="D147" s="33" t="s">
        <v>448</v>
      </c>
      <c r="E147" s="33" t="s">
        <v>449</v>
      </c>
      <c r="F147" s="33" t="s">
        <v>450</v>
      </c>
      <c r="N147" s="33" t="s">
        <v>403</v>
      </c>
      <c r="O147" s="33" t="s">
        <v>464</v>
      </c>
      <c r="P147" s="33" t="s">
        <v>465</v>
      </c>
      <c r="Q147" s="33" t="s">
        <v>458</v>
      </c>
      <c r="R147" s="33" t="s">
        <v>459</v>
      </c>
      <c r="S147" s="33" t="s">
        <v>471</v>
      </c>
    </row>
    <row r="148" customFormat="false" ht="15" hidden="false" customHeight="true" outlineLevel="0" collapsed="false">
      <c r="A148" s="33" t="s">
        <v>171</v>
      </c>
      <c r="B148" s="33" t="s">
        <v>472</v>
      </c>
      <c r="C148" s="126" t="n">
        <v>12</v>
      </c>
      <c r="D148" s="33" t="s">
        <v>298</v>
      </c>
      <c r="E148" s="126" t="n">
        <v>25.38</v>
      </c>
      <c r="F148" s="126" t="n">
        <v>304.56</v>
      </c>
      <c r="N148" s="126" t="n">
        <v>400</v>
      </c>
      <c r="O148" s="126" t="n">
        <v>10152</v>
      </c>
      <c r="P148" s="126" t="n">
        <v>846</v>
      </c>
      <c r="Q148" s="126" t="n">
        <v>121824</v>
      </c>
      <c r="R148" s="126" t="n">
        <v>10152</v>
      </c>
    </row>
    <row r="149" customFormat="false" ht="15" hidden="false" customHeight="true" outlineLevel="0" collapsed="false">
      <c r="A149" s="126" t="n">
        <v>1179.36</v>
      </c>
      <c r="B149" s="33" t="s">
        <v>473</v>
      </c>
      <c r="C149" s="126" t="n">
        <v>4</v>
      </c>
      <c r="D149" s="33" t="s">
        <v>298</v>
      </c>
      <c r="E149" s="126" t="n">
        <v>38.03</v>
      </c>
      <c r="F149" s="126" t="n">
        <v>152.12</v>
      </c>
      <c r="N149" s="126" t="n">
        <v>380</v>
      </c>
      <c r="O149" s="126" t="n">
        <v>14451.4</v>
      </c>
      <c r="P149" s="126" t="n">
        <v>1204.283333</v>
      </c>
      <c r="Q149" s="126" t="n">
        <v>57805.6</v>
      </c>
      <c r="R149" s="126" t="n">
        <v>4817.133333</v>
      </c>
    </row>
    <row r="150" customFormat="false" ht="15" hidden="false" customHeight="true" outlineLevel="0" collapsed="false">
      <c r="B150" s="33" t="s">
        <v>474</v>
      </c>
      <c r="C150" s="126" t="n">
        <v>4</v>
      </c>
      <c r="D150" s="33" t="s">
        <v>298</v>
      </c>
      <c r="E150" s="126" t="n">
        <v>53.05</v>
      </c>
      <c r="F150" s="126" t="n">
        <v>212.2</v>
      </c>
      <c r="N150" s="126" t="n">
        <v>370</v>
      </c>
      <c r="O150" s="126" t="n">
        <v>19628.5</v>
      </c>
      <c r="P150" s="126" t="n">
        <v>1635.708333</v>
      </c>
      <c r="Q150" s="126" t="n">
        <v>78514</v>
      </c>
      <c r="R150" s="126" t="n">
        <v>6542.833333</v>
      </c>
    </row>
    <row r="151" customFormat="false" ht="15" hidden="false" customHeight="true" outlineLevel="0" collapsed="false">
      <c r="B151" s="33" t="s">
        <v>475</v>
      </c>
      <c r="C151" s="126" t="n">
        <v>4</v>
      </c>
      <c r="D151" s="33" t="s">
        <v>298</v>
      </c>
      <c r="E151" s="126" t="n">
        <v>37.47</v>
      </c>
      <c r="F151" s="126" t="n">
        <v>149.88</v>
      </c>
      <c r="S151" s="126" t="n">
        <v>258143.6</v>
      </c>
    </row>
    <row r="152" customFormat="false" ht="15" hidden="false" customHeight="true" outlineLevel="0" collapsed="false">
      <c r="B152" s="33" t="s">
        <v>462</v>
      </c>
      <c r="D152" s="33" t="s">
        <v>302</v>
      </c>
      <c r="F152" s="126" t="n">
        <v>204.16</v>
      </c>
    </row>
    <row r="153" customFormat="false" ht="15" hidden="false" customHeight="true" outlineLevel="0" collapsed="false">
      <c r="B153" s="33" t="s">
        <v>307</v>
      </c>
      <c r="D153" s="33" t="s">
        <v>306</v>
      </c>
      <c r="F153" s="126" t="n">
        <v>156.44</v>
      </c>
    </row>
    <row r="155" customFormat="false" ht="15" hidden="false" customHeight="true" outlineLevel="0" collapsed="false">
      <c r="B155" s="33" t="s">
        <v>186</v>
      </c>
      <c r="F155" s="126" t="n">
        <v>668.88</v>
      </c>
    </row>
    <row r="156" customFormat="false" ht="15" hidden="false" customHeight="true" outlineLevel="0" collapsed="false">
      <c r="B156" s="33" t="s">
        <v>463</v>
      </c>
      <c r="F156" s="126" t="n">
        <v>510.48</v>
      </c>
    </row>
    <row r="157" customFormat="false" ht="15" hidden="false" customHeight="true" outlineLevel="0" collapsed="false">
      <c r="A157" s="33" t="s">
        <v>151</v>
      </c>
      <c r="B157" s="33" t="s">
        <v>118</v>
      </c>
      <c r="C157" s="33" t="s">
        <v>152</v>
      </c>
      <c r="D157" s="33" t="s">
        <v>448</v>
      </c>
      <c r="E157" s="33" t="s">
        <v>449</v>
      </c>
      <c r="F157" s="33" t="s">
        <v>450</v>
      </c>
      <c r="I157" s="33" t="s">
        <v>453</v>
      </c>
      <c r="J157" s="33" t="s">
        <v>454</v>
      </c>
      <c r="K157" s="33" t="s">
        <v>455</v>
      </c>
      <c r="L157" s="33" t="s">
        <v>456</v>
      </c>
      <c r="M157" s="33" t="s">
        <v>457</v>
      </c>
      <c r="N157" s="33" t="s">
        <v>403</v>
      </c>
      <c r="O157" s="33" t="s">
        <v>464</v>
      </c>
      <c r="P157" s="33" t="s">
        <v>465</v>
      </c>
      <c r="Q157" s="33" t="s">
        <v>458</v>
      </c>
      <c r="R157" s="33" t="s">
        <v>459</v>
      </c>
      <c r="S157" s="33" t="s">
        <v>476</v>
      </c>
    </row>
    <row r="158" customFormat="false" ht="15" hidden="false" customHeight="true" outlineLevel="0" collapsed="false">
      <c r="A158" s="33" t="s">
        <v>175</v>
      </c>
      <c r="B158" s="33" t="s">
        <v>160</v>
      </c>
      <c r="C158" s="126" t="n">
        <v>4</v>
      </c>
      <c r="D158" s="33" t="s">
        <v>300</v>
      </c>
      <c r="E158" s="126" t="n">
        <v>61.14</v>
      </c>
      <c r="F158" s="126" t="n">
        <v>244.56</v>
      </c>
      <c r="I158" s="126" t="n">
        <v>13.91308213</v>
      </c>
      <c r="J158" s="126" t="n">
        <v>55.65232854</v>
      </c>
      <c r="K158" s="126" t="n">
        <v>75.05308213</v>
      </c>
      <c r="L158" s="126" t="n">
        <v>300.2123285</v>
      </c>
      <c r="M158" s="126" t="n">
        <v>1.227561042</v>
      </c>
      <c r="N158" s="126" t="n">
        <v>90</v>
      </c>
      <c r="O158" s="126" t="n">
        <v>6754.777392</v>
      </c>
      <c r="P158" s="126" t="n">
        <v>562.898116</v>
      </c>
      <c r="Q158" s="126" t="n">
        <v>27019.10957</v>
      </c>
      <c r="R158" s="126" t="n">
        <v>2251.592464</v>
      </c>
    </row>
    <row r="159" customFormat="false" ht="15" hidden="false" customHeight="true" outlineLevel="0" collapsed="false">
      <c r="A159" s="126" t="n">
        <v>1187.63</v>
      </c>
      <c r="B159" s="33" t="s">
        <v>161</v>
      </c>
      <c r="C159" s="126" t="n">
        <v>2</v>
      </c>
      <c r="D159" s="33" t="s">
        <v>300</v>
      </c>
      <c r="E159" s="126" t="n">
        <v>61.24</v>
      </c>
      <c r="F159" s="126" t="n">
        <v>122.48</v>
      </c>
      <c r="I159" s="126" t="n">
        <v>13.93583824</v>
      </c>
      <c r="J159" s="126" t="n">
        <v>27.87167648</v>
      </c>
      <c r="K159" s="126" t="n">
        <v>75.17583824</v>
      </c>
      <c r="L159" s="126" t="n">
        <v>150.3516765</v>
      </c>
      <c r="M159" s="126" t="n">
        <v>1.227561042</v>
      </c>
      <c r="N159" s="126" t="n">
        <v>90</v>
      </c>
      <c r="O159" s="126" t="n">
        <v>6765.825441</v>
      </c>
      <c r="P159" s="126" t="n">
        <v>563.8187868</v>
      </c>
      <c r="Q159" s="126" t="n">
        <v>13531.65088</v>
      </c>
      <c r="R159" s="126" t="n">
        <v>1127.637574</v>
      </c>
    </row>
    <row r="160" customFormat="false" ht="15" hidden="false" customHeight="true" outlineLevel="0" collapsed="false">
      <c r="B160" s="33" t="s">
        <v>162</v>
      </c>
      <c r="C160" s="126" t="n">
        <v>4</v>
      </c>
      <c r="D160" s="33" t="s">
        <v>300</v>
      </c>
      <c r="E160" s="126" t="n">
        <v>68.1</v>
      </c>
      <c r="F160" s="126" t="n">
        <v>272.4</v>
      </c>
      <c r="I160" s="126" t="n">
        <v>15.49690699</v>
      </c>
      <c r="J160" s="126" t="n">
        <v>61.98762796</v>
      </c>
      <c r="K160" s="126" t="n">
        <v>83.59690699</v>
      </c>
      <c r="L160" s="126" t="n">
        <v>334.387628</v>
      </c>
      <c r="M160" s="126" t="n">
        <v>1.227561042</v>
      </c>
      <c r="N160" s="126" t="n">
        <v>90</v>
      </c>
      <c r="O160" s="126" t="n">
        <v>7523.721629</v>
      </c>
      <c r="P160" s="126" t="n">
        <v>626.9768024</v>
      </c>
      <c r="Q160" s="126" t="n">
        <v>30094.88652</v>
      </c>
      <c r="R160" s="126" t="n">
        <v>2507.90721</v>
      </c>
    </row>
    <row r="161" customFormat="false" ht="15" hidden="false" customHeight="true" outlineLevel="0" collapsed="false">
      <c r="B161" s="33" t="s">
        <v>477</v>
      </c>
      <c r="D161" s="33" t="s">
        <v>302</v>
      </c>
      <c r="F161" s="126" t="n">
        <v>187.78</v>
      </c>
      <c r="S161" s="126" t="n">
        <v>70645.64697</v>
      </c>
    </row>
    <row r="162" customFormat="false" ht="15" hidden="false" customHeight="true" outlineLevel="0" collapsed="false">
      <c r="B162" s="33" t="s">
        <v>478</v>
      </c>
      <c r="D162" s="33" t="s">
        <v>300</v>
      </c>
      <c r="F162" s="126" t="n">
        <v>20.94</v>
      </c>
    </row>
    <row r="163" customFormat="false" ht="15" hidden="false" customHeight="true" outlineLevel="0" collapsed="false">
      <c r="B163" s="33" t="s">
        <v>479</v>
      </c>
      <c r="D163" s="33" t="s">
        <v>300</v>
      </c>
      <c r="F163" s="126" t="n">
        <v>54.32</v>
      </c>
    </row>
    <row r="164" customFormat="false" ht="15" hidden="false" customHeight="true" outlineLevel="0" collapsed="false">
      <c r="B164" s="33" t="s">
        <v>231</v>
      </c>
      <c r="D164" s="33" t="s">
        <v>304</v>
      </c>
      <c r="F164" s="126" t="n">
        <v>30.9</v>
      </c>
    </row>
    <row r="165" customFormat="false" ht="15" hidden="false" customHeight="true" outlineLevel="0" collapsed="false">
      <c r="B165" s="33" t="s">
        <v>307</v>
      </c>
      <c r="D165" s="33" t="s">
        <v>306</v>
      </c>
      <c r="F165" s="126" t="n">
        <v>254.25</v>
      </c>
    </row>
    <row r="167" customFormat="false" ht="15" hidden="false" customHeight="true" outlineLevel="0" collapsed="false">
      <c r="B167" s="33" t="s">
        <v>186</v>
      </c>
      <c r="F167" s="126" t="n">
        <v>639.44</v>
      </c>
    </row>
    <row r="168" customFormat="false" ht="15" hidden="false" customHeight="true" outlineLevel="0" collapsed="false">
      <c r="B168" s="33" t="s">
        <v>463</v>
      </c>
      <c r="F168" s="126" t="n">
        <v>548.19</v>
      </c>
      <c r="J168" s="126" t="n">
        <v>145.511633</v>
      </c>
    </row>
    <row r="169" customFormat="false" ht="15" hidden="false" customHeight="true" outlineLevel="0" collapsed="false">
      <c r="A169" s="33" t="s">
        <v>308</v>
      </c>
      <c r="Q169" s="33" t="s">
        <v>458</v>
      </c>
      <c r="R169" s="33" t="s">
        <v>459</v>
      </c>
    </row>
    <row r="170" customFormat="false" ht="15" hidden="false" customHeight="true" outlineLevel="0" collapsed="false">
      <c r="A170" s="33" t="s">
        <v>483</v>
      </c>
      <c r="Q170" s="126" t="n">
        <v>746184.9327</v>
      </c>
      <c r="R170" s="126" t="n">
        <v>62182.07772</v>
      </c>
    </row>
    <row r="173" customFormat="false" ht="15" hidden="false" customHeight="true" outlineLevel="0" collapsed="false">
      <c r="A173" s="33" t="s">
        <v>484</v>
      </c>
      <c r="Q173" s="33" t="s">
        <v>458</v>
      </c>
      <c r="R173" s="33" t="s">
        <v>459</v>
      </c>
    </row>
    <row r="174" customFormat="false" ht="15" hidden="false" customHeight="true" outlineLevel="0" collapsed="false">
      <c r="A174" s="33" t="s">
        <v>485</v>
      </c>
      <c r="Q174" s="126" t="n">
        <v>2281007.532</v>
      </c>
      <c r="R174" s="126" t="n">
        <v>190083.961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40"/>
    <col collapsed="false" customWidth="true" hidden="false" outlineLevel="0" max="5" min="5" style="1" width="3"/>
  </cols>
  <sheetData>
    <row r="2" customFormat="false" ht="21.75" hidden="false" customHeight="true" outlineLevel="0" collapsed="false">
      <c r="B2" s="35" t="s">
        <v>486</v>
      </c>
      <c r="C2" s="35"/>
      <c r="D2" s="35"/>
    </row>
    <row r="3" customFormat="false" ht="15" hidden="false" customHeight="true" outlineLevel="0" collapsed="false">
      <c r="B3" s="36" t="s">
        <v>487</v>
      </c>
      <c r="C3" s="36"/>
      <c r="D3" s="36"/>
    </row>
    <row r="5" customFormat="false" ht="17.25" hidden="false" customHeight="true" outlineLevel="0" collapsed="false">
      <c r="B5" s="24" t="s">
        <v>488</v>
      </c>
      <c r="C5" s="24"/>
      <c r="D5" s="24"/>
    </row>
    <row r="6" customFormat="false" ht="21.75" hidden="false" customHeight="true" outlineLevel="0" collapsed="false">
      <c r="B6" s="37" t="s">
        <v>489</v>
      </c>
      <c r="C6" s="5" t="s">
        <v>490</v>
      </c>
      <c r="D6" s="84" t="s">
        <v>491</v>
      </c>
    </row>
    <row r="7" customFormat="false" ht="15" hidden="false" customHeight="true" outlineLevel="0" collapsed="false">
      <c r="B7" s="37" t="s">
        <v>492</v>
      </c>
      <c r="C7" s="5" t="s">
        <v>493</v>
      </c>
      <c r="D7" s="84" t="s">
        <v>494</v>
      </c>
    </row>
    <row r="8" customFormat="false" ht="23.25" hidden="false" customHeight="true" outlineLevel="0" collapsed="false">
      <c r="B8" s="37" t="s">
        <v>495</v>
      </c>
      <c r="C8" s="5" t="s">
        <v>496</v>
      </c>
      <c r="D8" s="84" t="s">
        <v>497</v>
      </c>
    </row>
    <row r="9" customFormat="false" ht="15" hidden="false" customHeight="true" outlineLevel="0" collapsed="false">
      <c r="B9" s="37" t="s">
        <v>498</v>
      </c>
      <c r="C9" s="5" t="s">
        <v>499</v>
      </c>
      <c r="D9" s="84" t="s">
        <v>500</v>
      </c>
    </row>
    <row r="10" customFormat="false" ht="21.75" hidden="false" customHeight="true" outlineLevel="0" collapsed="false">
      <c r="B10" s="37" t="s">
        <v>501</v>
      </c>
      <c r="C10" s="5" t="s">
        <v>502</v>
      </c>
      <c r="D10" s="84" t="s">
        <v>503</v>
      </c>
    </row>
    <row r="11" customFormat="false" ht="21.75" hidden="false" customHeight="true" outlineLevel="0" collapsed="false">
      <c r="B11" s="37" t="s">
        <v>504</v>
      </c>
      <c r="C11" s="5" t="s">
        <v>505</v>
      </c>
      <c r="D11" s="84" t="s">
        <v>506</v>
      </c>
    </row>
    <row r="12" customFormat="false" ht="23.25" hidden="false" customHeight="true" outlineLevel="0" collapsed="false">
      <c r="B12" s="37" t="s">
        <v>507</v>
      </c>
      <c r="C12" s="5" t="s">
        <v>508</v>
      </c>
      <c r="D12" s="84" t="s">
        <v>509</v>
      </c>
    </row>
    <row r="14" customFormat="false" ht="17.25" hidden="false" customHeight="true" outlineLevel="0" collapsed="false">
      <c r="B14" s="24" t="s">
        <v>510</v>
      </c>
      <c r="C14" s="24"/>
      <c r="D14" s="24"/>
    </row>
    <row r="15" customFormat="false" ht="15" hidden="false" customHeight="true" outlineLevel="0" collapsed="false">
      <c r="B15" s="127" t="s">
        <v>511</v>
      </c>
      <c r="C15" s="5" t="s">
        <v>512</v>
      </c>
      <c r="D15" s="84" t="s">
        <v>513</v>
      </c>
    </row>
    <row r="16" customFormat="false" ht="15" hidden="false" customHeight="true" outlineLevel="0" collapsed="false">
      <c r="B16" s="127" t="s">
        <v>514</v>
      </c>
      <c r="C16" s="5" t="s">
        <v>515</v>
      </c>
      <c r="D16" s="84" t="s">
        <v>516</v>
      </c>
    </row>
    <row r="17" customFormat="false" ht="15" hidden="false" customHeight="true" outlineLevel="0" collapsed="false">
      <c r="B17" s="127" t="s">
        <v>517</v>
      </c>
      <c r="C17" s="5" t="s">
        <v>518</v>
      </c>
      <c r="D17" s="84" t="s">
        <v>519</v>
      </c>
    </row>
    <row r="18" customFormat="false" ht="15" hidden="false" customHeight="true" outlineLevel="0" collapsed="false">
      <c r="B18" s="127" t="s">
        <v>520</v>
      </c>
      <c r="C18" s="5" t="s">
        <v>521</v>
      </c>
      <c r="D18" s="84" t="s">
        <v>522</v>
      </c>
    </row>
    <row r="19" customFormat="false" ht="21.75" hidden="false" customHeight="true" outlineLevel="0" collapsed="false">
      <c r="B19" s="127" t="s">
        <v>523</v>
      </c>
      <c r="C19" s="5" t="s">
        <v>524</v>
      </c>
      <c r="D19" s="84" t="s">
        <v>525</v>
      </c>
    </row>
    <row r="20" customFormat="false" ht="21.75" hidden="false" customHeight="true" outlineLevel="0" collapsed="false">
      <c r="B20" s="127" t="s">
        <v>526</v>
      </c>
      <c r="C20" s="5" t="s">
        <v>527</v>
      </c>
      <c r="D20" s="84" t="s">
        <v>528</v>
      </c>
    </row>
    <row r="21" customFormat="false" ht="15" hidden="false" customHeight="true" outlineLevel="0" collapsed="false">
      <c r="B21" s="127" t="s">
        <v>529</v>
      </c>
      <c r="C21" s="5" t="s">
        <v>530</v>
      </c>
      <c r="D21" s="84" t="s">
        <v>531</v>
      </c>
    </row>
    <row r="23" customFormat="false" ht="17.25" hidden="false" customHeight="true" outlineLevel="0" collapsed="false">
      <c r="B23" s="24" t="s">
        <v>532</v>
      </c>
      <c r="C23" s="24"/>
      <c r="D23" s="24"/>
    </row>
    <row r="24" customFormat="false" ht="23.25" hidden="false" customHeight="true" outlineLevel="0" collapsed="false">
      <c r="B24" s="128" t="s">
        <v>533</v>
      </c>
      <c r="C24" s="5" t="s">
        <v>534</v>
      </c>
      <c r="D24" s="84" t="s">
        <v>535</v>
      </c>
    </row>
    <row r="25" customFormat="false" ht="23.25" hidden="false" customHeight="true" outlineLevel="0" collapsed="false">
      <c r="B25" s="128" t="s">
        <v>536</v>
      </c>
      <c r="C25" s="5" t="s">
        <v>537</v>
      </c>
      <c r="D25" s="84" t="s">
        <v>538</v>
      </c>
    </row>
    <row r="26" customFormat="false" ht="23.25" hidden="false" customHeight="true" outlineLevel="0" collapsed="false">
      <c r="B26" s="128" t="s">
        <v>539</v>
      </c>
      <c r="C26" s="5" t="s">
        <v>540</v>
      </c>
      <c r="D26" s="84" t="s">
        <v>541</v>
      </c>
    </row>
    <row r="27" customFormat="false" ht="21.75" hidden="false" customHeight="true" outlineLevel="0" collapsed="false">
      <c r="B27" s="128" t="s">
        <v>542</v>
      </c>
      <c r="C27" s="5" t="s">
        <v>543</v>
      </c>
      <c r="D27" s="84" t="s">
        <v>544</v>
      </c>
    </row>
    <row r="28" customFormat="false" ht="23.25" hidden="false" customHeight="true" outlineLevel="0" collapsed="false">
      <c r="B28" s="128" t="s">
        <v>545</v>
      </c>
      <c r="C28" s="5" t="s">
        <v>546</v>
      </c>
      <c r="D28" s="84" t="s">
        <v>547</v>
      </c>
    </row>
    <row r="29" customFormat="false" ht="23.25" hidden="false" customHeight="true" outlineLevel="0" collapsed="false">
      <c r="B29" s="128" t="s">
        <v>548</v>
      </c>
      <c r="C29" s="5" t="s">
        <v>549</v>
      </c>
      <c r="D29" s="84" t="s">
        <v>550</v>
      </c>
    </row>
    <row r="31" customFormat="false" ht="17.25" hidden="false" customHeight="true" outlineLevel="0" collapsed="false">
      <c r="B31" s="24" t="s">
        <v>551</v>
      </c>
      <c r="C31" s="24"/>
      <c r="D31" s="24"/>
    </row>
    <row r="32" customFormat="false" ht="23.25" hidden="false" customHeight="true" outlineLevel="0" collapsed="false">
      <c r="B32" s="11" t="s">
        <v>552</v>
      </c>
      <c r="C32" s="11"/>
      <c r="D32" s="11"/>
    </row>
    <row r="33" customFormat="false" ht="15" hidden="false" customHeight="true" outlineLevel="0" collapsed="false">
      <c r="B33" s="11" t="s">
        <v>553</v>
      </c>
      <c r="C33" s="11"/>
      <c r="D33" s="11"/>
    </row>
    <row r="34" customFormat="false" ht="15" hidden="false" customHeight="true" outlineLevel="0" collapsed="false">
      <c r="B34" s="11" t="s">
        <v>554</v>
      </c>
      <c r="C34" s="11"/>
      <c r="D34" s="11"/>
    </row>
    <row r="35" customFormat="false" ht="15" hidden="false" customHeight="true" outlineLevel="0" collapsed="false">
      <c r="B35" s="11" t="s">
        <v>555</v>
      </c>
      <c r="C35" s="11"/>
      <c r="D35" s="11"/>
    </row>
    <row r="36" customFormat="false" ht="15" hidden="false" customHeight="true" outlineLevel="0" collapsed="false">
      <c r="B36" s="11" t="s">
        <v>556</v>
      </c>
      <c r="C36" s="11"/>
      <c r="D36" s="11"/>
    </row>
    <row r="37" customFormat="false" ht="15" hidden="false" customHeight="true" outlineLevel="0" collapsed="false">
      <c r="B37" s="11" t="s">
        <v>557</v>
      </c>
      <c r="C37" s="11"/>
      <c r="D37" s="11"/>
    </row>
    <row r="38" customFormat="false" ht="15" hidden="false" customHeight="true" outlineLevel="0" collapsed="false">
      <c r="B38" s="11" t="s">
        <v>558</v>
      </c>
      <c r="C38" s="11"/>
      <c r="D38" s="11"/>
    </row>
  </sheetData>
  <mergeCells count="13">
    <mergeCell ref="B2:D2"/>
    <mergeCell ref="B3:D3"/>
    <mergeCell ref="B5:D5"/>
    <mergeCell ref="B14:D14"/>
    <mergeCell ref="B23:D23"/>
    <mergeCell ref="B31:D31"/>
    <mergeCell ref="B32:D32"/>
    <mergeCell ref="B33:D33"/>
    <mergeCell ref="B34:D34"/>
    <mergeCell ref="B35:D35"/>
    <mergeCell ref="B36:D36"/>
    <mergeCell ref="B37:D37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7" min="4" style="1" width="18"/>
    <col collapsed="false" customWidth="true" hidden="false" outlineLevel="0" max="8" min="8" style="1" width="30"/>
    <col collapsed="false" customWidth="true" hidden="false" outlineLevel="0" max="9" min="9" style="1" width="3"/>
  </cols>
  <sheetData>
    <row r="2" customFormat="false" ht="21.75" hidden="false" customHeight="true" outlineLevel="0" collapsed="false">
      <c r="B2" s="35" t="s">
        <v>559</v>
      </c>
      <c r="C2" s="35"/>
      <c r="D2" s="35"/>
      <c r="E2" s="35"/>
      <c r="F2" s="35"/>
      <c r="G2" s="35"/>
      <c r="H2" s="35"/>
    </row>
    <row r="3" customFormat="false" ht="15" hidden="false" customHeight="true" outlineLevel="0" collapsed="false">
      <c r="B3" s="36" t="s">
        <v>560</v>
      </c>
      <c r="C3" s="36"/>
      <c r="D3" s="36"/>
      <c r="E3" s="36"/>
      <c r="F3" s="36"/>
      <c r="G3" s="36"/>
      <c r="H3" s="36"/>
    </row>
    <row r="5" customFormat="false" ht="17.25" hidden="false" customHeight="true" outlineLevel="0" collapsed="false">
      <c r="B5" s="24" t="s">
        <v>561</v>
      </c>
      <c r="C5" s="24"/>
      <c r="D5" s="24"/>
      <c r="E5" s="24"/>
      <c r="F5" s="24"/>
      <c r="G5" s="24"/>
      <c r="H5" s="24"/>
    </row>
    <row r="6" customFormat="false" ht="15" hidden="false" customHeight="true" outlineLevel="0" collapsed="false">
      <c r="B6" s="25" t="s">
        <v>93</v>
      </c>
      <c r="C6" s="25" t="s">
        <v>61</v>
      </c>
      <c r="D6" s="25" t="s">
        <v>62</v>
      </c>
      <c r="E6" s="25" t="s">
        <v>63</v>
      </c>
      <c r="F6" s="25" t="s">
        <v>10</v>
      </c>
      <c r="G6" s="25"/>
      <c r="H6" s="25"/>
    </row>
    <row r="7" customFormat="false" ht="15" hidden="false" customHeight="true" outlineLevel="0" collapsed="false">
      <c r="B7" s="37" t="s">
        <v>562</v>
      </c>
      <c r="C7" s="98" t="n">
        <v>37500000</v>
      </c>
      <c r="D7" s="98" t="n">
        <v>37500000</v>
      </c>
      <c r="E7" s="27" t="n">
        <f aca="false">C7+D7</f>
        <v>75000000</v>
      </c>
      <c r="F7" s="39" t="s">
        <v>563</v>
      </c>
      <c r="G7" s="39"/>
      <c r="H7" s="39"/>
    </row>
    <row r="8" customFormat="false" ht="15" hidden="false" customHeight="true" outlineLevel="0" collapsed="false">
      <c r="B8" s="37" t="s">
        <v>564</v>
      </c>
      <c r="C8" s="98" t="n">
        <v>2388141</v>
      </c>
      <c r="D8" s="98" t="n">
        <v>2388141</v>
      </c>
      <c r="E8" s="27" t="n">
        <f aca="false">C8+D8</f>
        <v>4776282</v>
      </c>
      <c r="F8" s="39" t="s">
        <v>563</v>
      </c>
      <c r="G8" s="39"/>
      <c r="H8" s="39"/>
    </row>
    <row r="9" customFormat="false" ht="15" hidden="false" customHeight="true" outlineLevel="0" collapsed="false">
      <c r="B9" s="37" t="s">
        <v>565</v>
      </c>
      <c r="C9" s="98" t="n">
        <v>47762813</v>
      </c>
      <c r="D9" s="98" t="n">
        <v>47762813</v>
      </c>
      <c r="E9" s="27" t="n">
        <f aca="false">C9+D9</f>
        <v>95525626</v>
      </c>
      <c r="F9" s="39" t="s">
        <v>566</v>
      </c>
      <c r="G9" s="39"/>
      <c r="H9" s="39"/>
    </row>
    <row r="10" customFormat="false" ht="15" hidden="false" customHeight="true" outlineLevel="0" collapsed="false">
      <c r="B10" s="37" t="s">
        <v>567</v>
      </c>
      <c r="C10" s="129" t="n">
        <v>0.05</v>
      </c>
      <c r="D10" s="129" t="n">
        <v>0.05</v>
      </c>
      <c r="E10" s="31" t="n">
        <v>0.05</v>
      </c>
      <c r="F10" s="39" t="s">
        <v>568</v>
      </c>
      <c r="G10" s="39"/>
      <c r="H10" s="39"/>
    </row>
    <row r="11" customFormat="false" ht="15" hidden="false" customHeight="true" outlineLevel="0" collapsed="false">
      <c r="B11" s="37" t="s">
        <v>569</v>
      </c>
      <c r="C11" s="129" t="n">
        <v>0.0637</v>
      </c>
      <c r="D11" s="129" t="n">
        <v>0.0637</v>
      </c>
      <c r="E11" s="31" t="n">
        <v>0.0637</v>
      </c>
      <c r="F11" s="39" t="s">
        <v>570</v>
      </c>
      <c r="G11" s="39"/>
      <c r="H11" s="39"/>
    </row>
    <row r="12" customFormat="false" ht="15" hidden="false" customHeight="true" outlineLevel="0" collapsed="false">
      <c r="B12" s="37" t="s">
        <v>571</v>
      </c>
      <c r="C12" s="129" t="n">
        <v>0.0573</v>
      </c>
      <c r="D12" s="129" t="n">
        <v>0.0573</v>
      </c>
      <c r="E12" s="31" t="n">
        <v>0.0573</v>
      </c>
      <c r="F12" s="39" t="s">
        <v>570</v>
      </c>
      <c r="G12" s="39"/>
      <c r="H12" s="39"/>
    </row>
    <row r="15" customFormat="false" ht="17.25" hidden="false" customHeight="true" outlineLevel="0" collapsed="false">
      <c r="B15" s="24" t="s">
        <v>572</v>
      </c>
      <c r="C15" s="24"/>
      <c r="D15" s="24"/>
      <c r="E15" s="24"/>
      <c r="F15" s="24"/>
      <c r="G15" s="24"/>
      <c r="H15" s="24"/>
    </row>
    <row r="16" customFormat="false" ht="15" hidden="false" customHeight="true" outlineLevel="0" collapsed="false">
      <c r="B16" s="25" t="s">
        <v>93</v>
      </c>
      <c r="C16" s="25" t="s">
        <v>61</v>
      </c>
      <c r="D16" s="25" t="s">
        <v>62</v>
      </c>
      <c r="E16" s="25" t="s">
        <v>308</v>
      </c>
      <c r="F16" s="25" t="s">
        <v>120</v>
      </c>
      <c r="G16" s="25"/>
      <c r="H16" s="25"/>
    </row>
    <row r="17" customFormat="false" ht="15" hidden="false" customHeight="true" outlineLevel="0" collapsed="false">
      <c r="B17" s="5" t="s">
        <v>573</v>
      </c>
      <c r="C17" s="26" t="n">
        <f aca="false">Invest_E1</f>
        <v>37500000</v>
      </c>
      <c r="D17" s="26" t="n">
        <f aca="false">Invest_E2</f>
        <v>37500000</v>
      </c>
      <c r="E17" s="130" t="n">
        <f aca="false">Invest_Total</f>
        <v>75000000</v>
      </c>
      <c r="F17" s="39" t="s">
        <v>574</v>
      </c>
      <c r="G17" s="39"/>
      <c r="H17" s="39"/>
    </row>
    <row r="18" customFormat="false" ht="15" hidden="false" customHeight="true" outlineLevel="0" collapsed="false">
      <c r="B18" s="5" t="s">
        <v>575</v>
      </c>
      <c r="C18" s="26" t="n">
        <f aca="false">Mietertrag_E1_Soll</f>
        <v>2054973.6</v>
      </c>
      <c r="D18" s="26" t="n">
        <f aca="false">Mietertrag_Total_Soll-Mietertrag_E1_Soll</f>
        <v>2096073.072</v>
      </c>
      <c r="E18" s="130" t="n">
        <f aca="false">Mietertrag_Total_Soll</f>
        <v>4151046.672</v>
      </c>
      <c r="F18" s="39" t="s">
        <v>576</v>
      </c>
      <c r="G18" s="39"/>
      <c r="H18" s="39"/>
    </row>
    <row r="19" customFormat="false" ht="15" hidden="false" customHeight="true" outlineLevel="0" collapsed="false">
      <c r="B19" s="5" t="s">
        <v>577</v>
      </c>
      <c r="C19" s="26" t="n">
        <f aca="false">Mietertrag_E1_Methabau</f>
        <v>2140340.4</v>
      </c>
      <c r="D19" s="26" t="n">
        <f aca="false">Mietertrag_E2_Methabau</f>
        <v>2183147.208</v>
      </c>
      <c r="E19" s="130" t="n">
        <f aca="false">Mietertrag_Total_Methabau</f>
        <v>4323487.608</v>
      </c>
      <c r="F19" s="39" t="s">
        <v>578</v>
      </c>
      <c r="G19" s="39"/>
      <c r="H19" s="39"/>
    </row>
    <row r="20" customFormat="false" ht="15" hidden="false" customHeight="true" outlineLevel="0" collapsed="false">
      <c r="B20" s="5" t="s">
        <v>579</v>
      </c>
      <c r="C20" s="30" t="n">
        <f aca="false">Mietertrag_E1_Soll/Invest_E1</f>
        <v>0.054799296</v>
      </c>
      <c r="D20" s="30" t="n">
        <f aca="false">Mietertrag_E1_Soll/Invest_E1</f>
        <v>0.054799296</v>
      </c>
      <c r="E20" s="131" t="n">
        <f aca="false">Mietertrag_Total_Soll/Invest_Total</f>
        <v>0.05534728896</v>
      </c>
      <c r="F20" s="39" t="s">
        <v>580</v>
      </c>
      <c r="G20" s="39"/>
      <c r="H20" s="39"/>
    </row>
    <row r="21" customFormat="false" ht="15" hidden="false" customHeight="true" outlineLevel="0" collapsed="false">
      <c r="B21" s="5" t="s">
        <v>581</v>
      </c>
      <c r="C21" s="30" t="n">
        <f aca="false">NettoRendite_E1</f>
        <v>0.03945549312</v>
      </c>
      <c r="D21" s="30" t="n">
        <f aca="false">NettoRendite_E1</f>
        <v>0.03945549312</v>
      </c>
      <c r="E21" s="131" t="n">
        <f aca="false">NettoRendite_Total</f>
        <v>0.0384526660032</v>
      </c>
      <c r="F21" s="39" t="s">
        <v>582</v>
      </c>
      <c r="G21" s="39"/>
      <c r="H21" s="39"/>
    </row>
    <row r="24" customFormat="false" ht="17.25" hidden="false" customHeight="true" outlineLevel="0" collapsed="false">
      <c r="B24" s="24" t="s">
        <v>583</v>
      </c>
      <c r="C24" s="24"/>
      <c r="D24" s="24"/>
      <c r="E24" s="24"/>
      <c r="F24" s="24"/>
      <c r="G24" s="24"/>
      <c r="H24" s="24"/>
    </row>
    <row r="25" customFormat="false" ht="15" hidden="false" customHeight="true" outlineLevel="0" collapsed="false">
      <c r="B25" s="25" t="s">
        <v>60</v>
      </c>
      <c r="C25" s="25" t="s">
        <v>584</v>
      </c>
      <c r="D25" s="25" t="s">
        <v>585</v>
      </c>
      <c r="E25" s="25" t="s">
        <v>586</v>
      </c>
      <c r="F25" s="25" t="s">
        <v>587</v>
      </c>
      <c r="G25" s="25" t="s">
        <v>588</v>
      </c>
      <c r="H25" s="25"/>
    </row>
    <row r="26" customFormat="false" ht="15" hidden="false" customHeight="true" outlineLevel="0" collapsed="false">
      <c r="B26" s="5" t="s">
        <v>589</v>
      </c>
      <c r="C26" s="26" t="n">
        <f aca="false">C7</f>
        <v>37500000</v>
      </c>
      <c r="D26" s="26" t="n">
        <f aca="false">C17</f>
        <v>37500000</v>
      </c>
      <c r="E26" s="132" t="n">
        <f aca="false">D26-C26</f>
        <v>0</v>
      </c>
      <c r="F26" s="133" t="n">
        <f aca="false">IFERROR((D26-C26)/C26,0)</f>
        <v>0</v>
      </c>
      <c r="G26" s="39" t="s">
        <v>590</v>
      </c>
      <c r="H26" s="39"/>
    </row>
    <row r="27" customFormat="false" ht="15" hidden="false" customHeight="true" outlineLevel="0" collapsed="false">
      <c r="B27" s="5" t="s">
        <v>591</v>
      </c>
      <c r="C27" s="26" t="n">
        <f aca="false">C8</f>
        <v>2388141</v>
      </c>
      <c r="D27" s="26" t="n">
        <f aca="false">C18</f>
        <v>2054973.6</v>
      </c>
      <c r="E27" s="132" t="n">
        <f aca="false">D27-C27</f>
        <v>-333167.4</v>
      </c>
      <c r="F27" s="133" t="n">
        <f aca="false">IFERROR((D27-C27)/C27,0)</f>
        <v>-0.1395090993371</v>
      </c>
      <c r="G27" s="39" t="s">
        <v>592</v>
      </c>
      <c r="H27" s="39"/>
    </row>
    <row r="28" customFormat="false" ht="15" hidden="false" customHeight="true" outlineLevel="0" collapsed="false">
      <c r="B28" s="5" t="s">
        <v>593</v>
      </c>
      <c r="C28" s="30" t="n">
        <f aca="false">C11</f>
        <v>0.0637</v>
      </c>
      <c r="D28" s="30" t="n">
        <f aca="false">C20</f>
        <v>0.054799296</v>
      </c>
      <c r="E28" s="134" t="n">
        <f aca="false">D28-C28</f>
        <v>-0.00890070400000001</v>
      </c>
      <c r="F28" s="133" t="n">
        <f aca="false">IFERROR((D28-C28)/C28,0)</f>
        <v>-0.139728477237049</v>
      </c>
      <c r="G28" s="39" t="s">
        <v>594</v>
      </c>
      <c r="H28" s="39"/>
    </row>
    <row r="29" customFormat="false" ht="15" hidden="false" customHeight="true" outlineLevel="0" collapsed="false">
      <c r="B29" s="5" t="s">
        <v>595</v>
      </c>
      <c r="C29" s="30" t="n">
        <f aca="false">C12</f>
        <v>0.0573</v>
      </c>
      <c r="D29" s="30" t="n">
        <f aca="false">C21</f>
        <v>0.03945549312</v>
      </c>
      <c r="E29" s="134" t="n">
        <f aca="false">D29-C29</f>
        <v>-0.01784450688</v>
      </c>
      <c r="F29" s="133" t="n">
        <f aca="false">IFERROR((D29-C29)/C29,0)</f>
        <v>-0.311422458638743</v>
      </c>
      <c r="G29" s="39" t="s">
        <v>596</v>
      </c>
      <c r="H29" s="39"/>
    </row>
    <row r="32" customFormat="false" ht="17.25" hidden="false" customHeight="true" outlineLevel="0" collapsed="false">
      <c r="B32" s="24" t="s">
        <v>597</v>
      </c>
      <c r="C32" s="24"/>
      <c r="D32" s="24"/>
      <c r="E32" s="24"/>
      <c r="F32" s="24"/>
      <c r="G32" s="24"/>
      <c r="H32" s="24"/>
    </row>
    <row r="33" customFormat="false" ht="15" hidden="false" customHeight="true" outlineLevel="0" collapsed="false">
      <c r="B33" s="5" t="s">
        <v>598</v>
      </c>
      <c r="C33" s="45" t="n">
        <f aca="false">C11*C17</f>
        <v>2388750</v>
      </c>
      <c r="D33" s="39" t="s">
        <v>599</v>
      </c>
      <c r="E33" s="39"/>
      <c r="F33" s="39"/>
      <c r="G33" s="39"/>
      <c r="H33" s="39"/>
    </row>
    <row r="34" customFormat="false" ht="15" hidden="false" customHeight="true" outlineLevel="0" collapsed="false">
      <c r="B34" s="5" t="s">
        <v>600</v>
      </c>
      <c r="C34" s="45" t="n">
        <f aca="false">C18</f>
        <v>2054973.6</v>
      </c>
      <c r="D34" s="39" t="s">
        <v>601</v>
      </c>
      <c r="E34" s="39"/>
      <c r="F34" s="39"/>
      <c r="G34" s="39"/>
      <c r="H34" s="39"/>
    </row>
    <row r="35" customFormat="false" ht="15" hidden="false" customHeight="true" outlineLevel="0" collapsed="false">
      <c r="B35" s="37" t="s">
        <v>602</v>
      </c>
      <c r="C35" s="132" t="n">
        <f aca="false">C33-C34</f>
        <v>333776.400000001</v>
      </c>
      <c r="D35" s="39" t="s">
        <v>603</v>
      </c>
      <c r="E35" s="39"/>
      <c r="F35" s="39"/>
      <c r="G35" s="39"/>
      <c r="H35" s="39"/>
    </row>
    <row r="36" customFormat="false" ht="15" hidden="false" customHeight="true" outlineLevel="0" collapsed="false">
      <c r="B36" s="5" t="s">
        <v>604</v>
      </c>
      <c r="C36" s="135" t="n">
        <f aca="false">HNF_E1_Total</f>
        <v>7051.82</v>
      </c>
      <c r="D36" s="39" t="s">
        <v>605</v>
      </c>
      <c r="E36" s="39"/>
      <c r="F36" s="39"/>
      <c r="G36" s="39"/>
      <c r="H36" s="39"/>
    </row>
    <row r="37" customFormat="false" ht="15" hidden="false" customHeight="true" outlineLevel="0" collapsed="false">
      <c r="B37" s="5" t="s">
        <v>606</v>
      </c>
      <c r="C37" s="27" t="n">
        <f aca="false">C34/C36</f>
        <v>291.41038767297</v>
      </c>
      <c r="D37" s="39" t="s">
        <v>607</v>
      </c>
      <c r="E37" s="39"/>
      <c r="F37" s="39"/>
      <c r="G37" s="39"/>
      <c r="H37" s="39"/>
    </row>
    <row r="38" customFormat="false" ht="15" hidden="false" customHeight="true" outlineLevel="0" collapsed="false">
      <c r="B38" s="5" t="s">
        <v>608</v>
      </c>
      <c r="C38" s="45" t="n">
        <f aca="false">C33/C36</f>
        <v>338.742338857203</v>
      </c>
      <c r="D38" s="39" t="s">
        <v>609</v>
      </c>
      <c r="E38" s="39"/>
      <c r="F38" s="39"/>
      <c r="G38" s="39"/>
      <c r="H38" s="39"/>
    </row>
    <row r="39" customFormat="false" ht="15" hidden="false" customHeight="true" outlineLevel="0" collapsed="false">
      <c r="B39" s="37" t="s">
        <v>610</v>
      </c>
      <c r="C39" s="136" t="n">
        <f aca="false">C33/C34-1</f>
        <v>0.162423692450356</v>
      </c>
      <c r="D39" s="39" t="s">
        <v>611</v>
      </c>
      <c r="E39" s="39"/>
      <c r="F39" s="39"/>
      <c r="G39" s="39"/>
      <c r="H39" s="39"/>
    </row>
    <row r="42" customFormat="false" ht="17.25" hidden="false" customHeight="true" outlineLevel="0" collapsed="false">
      <c r="B42" s="24" t="s">
        <v>612</v>
      </c>
      <c r="C42" s="24"/>
      <c r="D42" s="24"/>
      <c r="E42" s="24"/>
      <c r="F42" s="24"/>
      <c r="G42" s="24"/>
      <c r="H42" s="24"/>
    </row>
    <row r="43" customFormat="false" ht="23.25" hidden="false" customHeight="true" outlineLevel="0" collapsed="false">
      <c r="B43" s="137" t="s">
        <v>613</v>
      </c>
      <c r="C43" s="11" t="s">
        <v>614</v>
      </c>
      <c r="D43" s="11"/>
      <c r="E43" s="11"/>
      <c r="F43" s="11"/>
      <c r="G43" s="39" t="s">
        <v>615</v>
      </c>
      <c r="H43" s="39"/>
    </row>
    <row r="44" customFormat="false" ht="23.25" hidden="false" customHeight="true" outlineLevel="0" collapsed="false">
      <c r="B44" s="137" t="s">
        <v>616</v>
      </c>
      <c r="C44" s="11" t="s">
        <v>617</v>
      </c>
      <c r="D44" s="11"/>
      <c r="E44" s="11"/>
      <c r="F44" s="11"/>
      <c r="G44" s="39" t="s">
        <v>618</v>
      </c>
      <c r="H44" s="39"/>
    </row>
    <row r="45" customFormat="false" ht="15" hidden="false" customHeight="true" outlineLevel="0" collapsed="false">
      <c r="B45" s="137" t="s">
        <v>619</v>
      </c>
      <c r="C45" s="11" t="s">
        <v>620</v>
      </c>
      <c r="D45" s="11"/>
      <c r="E45" s="11"/>
      <c r="F45" s="11"/>
      <c r="G45" s="39" t="s">
        <v>621</v>
      </c>
      <c r="H45" s="39"/>
    </row>
    <row r="46" customFormat="false" ht="23.25" hidden="false" customHeight="true" outlineLevel="0" collapsed="false">
      <c r="B46" s="137" t="s">
        <v>622</v>
      </c>
      <c r="C46" s="11" t="s">
        <v>623</v>
      </c>
      <c r="D46" s="11"/>
      <c r="E46" s="11"/>
      <c r="F46" s="11"/>
      <c r="G46" s="39" t="s">
        <v>624</v>
      </c>
      <c r="H46" s="39"/>
    </row>
    <row r="47" customFormat="false" ht="15" hidden="false" customHeight="true" outlineLevel="0" collapsed="false">
      <c r="B47" s="137" t="s">
        <v>625</v>
      </c>
      <c r="C47" s="11" t="s">
        <v>626</v>
      </c>
      <c r="D47" s="11"/>
      <c r="E47" s="11"/>
      <c r="F47" s="11"/>
      <c r="G47" s="39" t="s">
        <v>627</v>
      </c>
      <c r="H47" s="39"/>
    </row>
    <row r="49" customFormat="false" ht="15" hidden="false" customHeight="true" outlineLevel="0" collapsed="false">
      <c r="B49" s="92" t="s">
        <v>628</v>
      </c>
      <c r="C49" s="92"/>
      <c r="D49" s="92"/>
      <c r="E49" s="92"/>
      <c r="F49" s="92"/>
      <c r="G49" s="92"/>
      <c r="H49" s="92"/>
    </row>
    <row r="50" customFormat="false" ht="15" hidden="false" customHeight="true" outlineLevel="0" collapsed="false">
      <c r="B50" s="92"/>
      <c r="C50" s="92"/>
      <c r="D50" s="92"/>
      <c r="E50" s="92"/>
      <c r="F50" s="92"/>
      <c r="G50" s="92"/>
      <c r="H50" s="92"/>
    </row>
    <row r="51" customFormat="false" ht="15" hidden="false" customHeight="true" outlineLevel="0" collapsed="false">
      <c r="B51" s="92"/>
      <c r="C51" s="92"/>
      <c r="D51" s="92"/>
      <c r="E51" s="92"/>
      <c r="F51" s="92"/>
      <c r="G51" s="92"/>
      <c r="H51" s="92"/>
    </row>
    <row r="52" customFormat="false" ht="15" hidden="false" customHeight="true" outlineLevel="0" collapsed="false">
      <c r="B52" s="92"/>
      <c r="C52" s="92"/>
      <c r="D52" s="92"/>
      <c r="E52" s="92"/>
      <c r="F52" s="92"/>
      <c r="G52" s="92"/>
      <c r="H52" s="92"/>
    </row>
    <row r="53" customFormat="false" ht="15" hidden="false" customHeight="true" outlineLevel="0" collapsed="false">
      <c r="B53" s="92"/>
      <c r="C53" s="92"/>
      <c r="D53" s="92"/>
      <c r="E53" s="92"/>
      <c r="F53" s="92"/>
      <c r="G53" s="92"/>
      <c r="H53" s="92"/>
    </row>
    <row r="54" customFormat="false" ht="15" hidden="false" customHeight="true" outlineLevel="0" collapsed="false">
      <c r="B54" s="92"/>
      <c r="C54" s="92"/>
      <c r="D54" s="92"/>
      <c r="E54" s="92"/>
      <c r="F54" s="92"/>
      <c r="G54" s="92"/>
      <c r="H54" s="92"/>
    </row>
  </sheetData>
  <mergeCells count="43">
    <mergeCell ref="B2:H2"/>
    <mergeCell ref="B3:H3"/>
    <mergeCell ref="B5:H5"/>
    <mergeCell ref="F6:H6"/>
    <mergeCell ref="F7:H7"/>
    <mergeCell ref="F8:H8"/>
    <mergeCell ref="F9:H9"/>
    <mergeCell ref="F10:H10"/>
    <mergeCell ref="F11:H11"/>
    <mergeCell ref="F12:H12"/>
    <mergeCell ref="B15:H15"/>
    <mergeCell ref="F16:H16"/>
    <mergeCell ref="F17:H17"/>
    <mergeCell ref="F18:H18"/>
    <mergeCell ref="F19:H19"/>
    <mergeCell ref="F20:H20"/>
    <mergeCell ref="F21:H21"/>
    <mergeCell ref="B24:H24"/>
    <mergeCell ref="G25:H25"/>
    <mergeCell ref="G26:H26"/>
    <mergeCell ref="G27:H27"/>
    <mergeCell ref="G28:H28"/>
    <mergeCell ref="G29:H29"/>
    <mergeCell ref="B32:H32"/>
    <mergeCell ref="D33:H33"/>
    <mergeCell ref="D34:H34"/>
    <mergeCell ref="D35:H35"/>
    <mergeCell ref="D36:H36"/>
    <mergeCell ref="D37:H37"/>
    <mergeCell ref="D38:H38"/>
    <mergeCell ref="D39:H39"/>
    <mergeCell ref="B42:H42"/>
    <mergeCell ref="C43:F43"/>
    <mergeCell ref="G43:H43"/>
    <mergeCell ref="C44:F44"/>
    <mergeCell ref="G44:H44"/>
    <mergeCell ref="C45:F45"/>
    <mergeCell ref="G45:H45"/>
    <mergeCell ref="C46:F46"/>
    <mergeCell ref="G46:H46"/>
    <mergeCell ref="C47:F47"/>
    <mergeCell ref="G47:H47"/>
    <mergeCell ref="B49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7" min="4" style="1" width="18"/>
    <col collapsed="false" customWidth="true" hidden="false" outlineLevel="0" max="8" min="8" style="1" width="30"/>
    <col collapsed="false" customWidth="true" hidden="false" outlineLevel="0" max="9" min="9" style="1" width="3"/>
  </cols>
  <sheetData>
    <row r="2" customFormat="false" ht="21.75" hidden="false" customHeight="true" outlineLevel="0" collapsed="false">
      <c r="B2" s="35" t="s">
        <v>629</v>
      </c>
      <c r="C2" s="35"/>
      <c r="D2" s="35"/>
      <c r="E2" s="35"/>
      <c r="F2" s="35"/>
      <c r="G2" s="35"/>
      <c r="H2" s="35"/>
    </row>
    <row r="3" customFormat="false" ht="15" hidden="false" customHeight="true" outlineLevel="0" collapsed="false">
      <c r="B3" s="36" t="s">
        <v>630</v>
      </c>
      <c r="C3" s="36"/>
      <c r="D3" s="36"/>
      <c r="E3" s="36"/>
      <c r="F3" s="36"/>
      <c r="G3" s="36"/>
      <c r="H3" s="36"/>
    </row>
    <row r="5" customFormat="false" ht="17.25" hidden="false" customHeight="true" outlineLevel="0" collapsed="false">
      <c r="B5" s="24" t="s">
        <v>631</v>
      </c>
      <c r="C5" s="24"/>
      <c r="D5" s="24"/>
      <c r="E5" s="24"/>
      <c r="F5" s="24"/>
      <c r="G5" s="24"/>
      <c r="H5" s="24"/>
    </row>
    <row r="6" customFormat="false" ht="15" hidden="false" customHeight="true" outlineLevel="0" collapsed="false">
      <c r="B6" s="25" t="s">
        <v>632</v>
      </c>
      <c r="C6" s="25" t="s">
        <v>119</v>
      </c>
      <c r="D6" s="25" t="s">
        <v>157</v>
      </c>
      <c r="F6" s="25" t="s">
        <v>633</v>
      </c>
      <c r="G6" s="25"/>
      <c r="H6" s="25"/>
    </row>
    <row r="7" customFormat="false" ht="15" hidden="false" customHeight="true" outlineLevel="0" collapsed="false">
      <c r="B7" s="5" t="s">
        <v>634</v>
      </c>
      <c r="C7" s="56" t="s">
        <v>292</v>
      </c>
      <c r="D7" s="57" t="n">
        <v>100</v>
      </c>
      <c r="E7" s="138" t="n">
        <f aca="false">D7*12</f>
        <v>1200</v>
      </c>
      <c r="F7" s="39" t="s">
        <v>635</v>
      </c>
      <c r="G7" s="39"/>
      <c r="H7" s="39"/>
    </row>
    <row r="8" customFormat="false" ht="15" hidden="false" customHeight="true" outlineLevel="0" collapsed="false">
      <c r="B8" s="5" t="s">
        <v>636</v>
      </c>
      <c r="C8" s="56" t="s">
        <v>292</v>
      </c>
      <c r="D8" s="57" t="n">
        <v>150</v>
      </c>
      <c r="E8" s="138" t="n">
        <f aca="false">D8*12</f>
        <v>1800</v>
      </c>
      <c r="F8" s="39" t="s">
        <v>637</v>
      </c>
      <c r="G8" s="39"/>
      <c r="H8" s="39"/>
    </row>
    <row r="9" customFormat="false" ht="15" hidden="false" customHeight="true" outlineLevel="0" collapsed="false">
      <c r="B9" s="5" t="s">
        <v>638</v>
      </c>
      <c r="C9" s="56" t="s">
        <v>292</v>
      </c>
      <c r="D9" s="57" t="n">
        <v>5</v>
      </c>
      <c r="E9" s="138" t="n">
        <f aca="false">D9*12</f>
        <v>60</v>
      </c>
      <c r="F9" s="39" t="s">
        <v>639</v>
      </c>
      <c r="G9" s="39"/>
      <c r="H9" s="39"/>
    </row>
    <row r="12" customFormat="false" ht="17.25" hidden="false" customHeight="true" outlineLevel="0" collapsed="false">
      <c r="B12" s="24" t="s">
        <v>640</v>
      </c>
      <c r="C12" s="24"/>
      <c r="D12" s="24"/>
      <c r="E12" s="24"/>
      <c r="F12" s="24"/>
      <c r="G12" s="24"/>
      <c r="H12" s="24"/>
    </row>
    <row r="13" customFormat="false" ht="15" hidden="false" customHeight="true" outlineLevel="0" collapsed="false">
      <c r="B13" s="25" t="s">
        <v>632</v>
      </c>
      <c r="C13" s="25"/>
      <c r="D13" s="25" t="s">
        <v>61</v>
      </c>
      <c r="E13" s="25" t="s">
        <v>62</v>
      </c>
      <c r="F13" s="25" t="s">
        <v>308</v>
      </c>
      <c r="G13" s="25" t="s">
        <v>641</v>
      </c>
      <c r="H13" s="25"/>
    </row>
    <row r="14" customFormat="false" ht="15" hidden="false" customHeight="true" outlineLevel="0" collapsed="false">
      <c r="B14" s="11" t="s">
        <v>642</v>
      </c>
      <c r="C14" s="11"/>
      <c r="D14" s="139" t="n">
        <v>38</v>
      </c>
      <c r="E14" s="139" t="n">
        <v>52</v>
      </c>
      <c r="F14" s="140" t="n">
        <f aca="false">D14+E14</f>
        <v>90</v>
      </c>
      <c r="G14" s="39" t="s">
        <v>643</v>
      </c>
      <c r="H14" s="39"/>
    </row>
    <row r="15" customFormat="false" ht="15" hidden="false" customHeight="true" outlineLevel="0" collapsed="false">
      <c r="B15" s="11" t="s">
        <v>644</v>
      </c>
      <c r="C15" s="11"/>
      <c r="D15" s="139" t="n">
        <v>30</v>
      </c>
      <c r="E15" s="139" t="n">
        <v>30</v>
      </c>
      <c r="F15" s="140" t="n">
        <f aca="false">D15+E15</f>
        <v>60</v>
      </c>
      <c r="G15" s="39" t="s">
        <v>645</v>
      </c>
      <c r="H15" s="39"/>
    </row>
    <row r="16" customFormat="false" ht="15" hidden="false" customHeight="true" outlineLevel="0" collapsed="false">
      <c r="B16" s="11" t="s">
        <v>646</v>
      </c>
      <c r="C16" s="11"/>
      <c r="D16" s="139" t="n">
        <v>8</v>
      </c>
      <c r="E16" s="139" t="n">
        <v>8</v>
      </c>
      <c r="F16" s="140" t="n">
        <f aca="false">D16+E16</f>
        <v>16</v>
      </c>
      <c r="G16" s="39" t="s">
        <v>647</v>
      </c>
      <c r="H16" s="39"/>
    </row>
    <row r="17" customFormat="false" ht="15" hidden="false" customHeight="true" outlineLevel="0" collapsed="false">
      <c r="B17" s="78" t="s">
        <v>648</v>
      </c>
      <c r="C17" s="78"/>
      <c r="D17" s="140" t="n">
        <f aca="false">SUM(D14:D16)</f>
        <v>76</v>
      </c>
      <c r="E17" s="140" t="n">
        <f aca="false">SUM(E14:E16)</f>
        <v>90</v>
      </c>
      <c r="F17" s="140" t="n">
        <f aca="false">D17+E17</f>
        <v>166</v>
      </c>
      <c r="G17" s="96"/>
      <c r="H17" s="96"/>
    </row>
    <row r="19" customFormat="false" ht="17.25" hidden="false" customHeight="true" outlineLevel="0" collapsed="false">
      <c r="B19" s="24" t="s">
        <v>649</v>
      </c>
      <c r="C19" s="24"/>
      <c r="D19" s="24"/>
      <c r="E19" s="24"/>
      <c r="F19" s="24"/>
      <c r="G19" s="24"/>
      <c r="H19" s="24"/>
    </row>
    <row r="20" customFormat="false" ht="15" hidden="false" customHeight="true" outlineLevel="0" collapsed="false">
      <c r="B20" s="25" t="s">
        <v>93</v>
      </c>
      <c r="C20" s="25"/>
      <c r="D20" s="25" t="s">
        <v>61</v>
      </c>
      <c r="E20" s="25" t="s">
        <v>62</v>
      </c>
      <c r="F20" s="25" t="s">
        <v>308</v>
      </c>
      <c r="G20" s="25" t="s">
        <v>650</v>
      </c>
      <c r="H20" s="25"/>
    </row>
    <row r="21" customFormat="false" ht="15" hidden="false" customHeight="true" outlineLevel="0" collapsed="false">
      <c r="B21" s="11" t="s">
        <v>642</v>
      </c>
      <c r="C21" s="11"/>
      <c r="D21" s="26" t="n">
        <f aca="false">D14*E7</f>
        <v>45600</v>
      </c>
      <c r="E21" s="26" t="n">
        <f aca="false">E14*E7</f>
        <v>62400</v>
      </c>
      <c r="F21" s="27" t="n">
        <f aca="false">D21+E21</f>
        <v>108000</v>
      </c>
      <c r="G21" s="39" t="s">
        <v>651</v>
      </c>
      <c r="H21" s="39"/>
    </row>
    <row r="22" customFormat="false" ht="15" hidden="false" customHeight="true" outlineLevel="0" collapsed="false">
      <c r="B22" s="11" t="s">
        <v>652</v>
      </c>
      <c r="C22" s="11"/>
      <c r="D22" s="26" t="n">
        <f aca="false">D15*E8</f>
        <v>54000</v>
      </c>
      <c r="E22" s="26" t="n">
        <f aca="false">E15*E8</f>
        <v>54000</v>
      </c>
      <c r="F22" s="27" t="n">
        <f aca="false">D22+E22</f>
        <v>108000</v>
      </c>
      <c r="G22" s="39" t="s">
        <v>651</v>
      </c>
      <c r="H22" s="39"/>
    </row>
    <row r="23" customFormat="false" ht="15" hidden="false" customHeight="true" outlineLevel="0" collapsed="false">
      <c r="B23" s="11" t="s">
        <v>646</v>
      </c>
      <c r="C23" s="11"/>
      <c r="D23" s="26" t="n">
        <f aca="false">D16*E9</f>
        <v>480</v>
      </c>
      <c r="E23" s="26" t="n">
        <f aca="false">E16*E9</f>
        <v>480</v>
      </c>
      <c r="F23" s="27" t="n">
        <f aca="false">D23+E23</f>
        <v>960</v>
      </c>
      <c r="G23" s="39" t="s">
        <v>651</v>
      </c>
      <c r="H23" s="39"/>
    </row>
    <row r="24" customFormat="false" ht="15" hidden="false" customHeight="true" outlineLevel="0" collapsed="false">
      <c r="B24" s="85" t="s">
        <v>653</v>
      </c>
      <c r="C24" s="85"/>
      <c r="D24" s="45" t="n">
        <f aca="false">SUM(D21:D23)</f>
        <v>100080</v>
      </c>
      <c r="E24" s="45" t="n">
        <f aca="false">SUM(E21:E23)</f>
        <v>116880</v>
      </c>
      <c r="F24" s="141" t="n">
        <f aca="false">D24+E24</f>
        <v>216960</v>
      </c>
    </row>
    <row r="26" customFormat="false" ht="17.25" hidden="false" customHeight="true" outlineLevel="0" collapsed="false">
      <c r="B26" s="24" t="s">
        <v>654</v>
      </c>
      <c r="C26" s="24"/>
      <c r="D26" s="24"/>
      <c r="E26" s="24"/>
      <c r="F26" s="24"/>
      <c r="G26" s="24"/>
      <c r="H26" s="24"/>
    </row>
    <row r="27" customFormat="false" ht="15" hidden="false" customHeight="true" outlineLevel="0" collapsed="false">
      <c r="B27" s="50" t="s">
        <v>655</v>
      </c>
      <c r="C27" s="50"/>
      <c r="D27" s="57" t="n">
        <v>20000</v>
      </c>
      <c r="E27" s="39" t="s">
        <v>656</v>
      </c>
      <c r="F27" s="39"/>
      <c r="G27" s="39"/>
      <c r="H27" s="39"/>
    </row>
    <row r="28" customFormat="false" ht="15" hidden="false" customHeight="true" outlineLevel="0" collapsed="false">
      <c r="B28" s="85" t="s">
        <v>657</v>
      </c>
      <c r="C28" s="85"/>
      <c r="D28" s="45" t="n">
        <f aca="false">D27*Hauser_E1</f>
        <v>60000</v>
      </c>
      <c r="E28" s="45" t="n">
        <f aca="false">D27*Hauser_E2</f>
        <v>60000</v>
      </c>
      <c r="F28" s="141" t="n">
        <f aca="false">D28+E28</f>
        <v>120000</v>
      </c>
    </row>
    <row r="30" customFormat="false" ht="17.25" hidden="false" customHeight="true" outlineLevel="0" collapsed="false">
      <c r="B30" s="24" t="s">
        <v>658</v>
      </c>
      <c r="C30" s="24"/>
      <c r="D30" s="24"/>
      <c r="E30" s="24"/>
      <c r="F30" s="24"/>
      <c r="G30" s="24"/>
      <c r="H30" s="24"/>
    </row>
    <row r="31" customFormat="false" ht="17.25" hidden="false" customHeight="true" outlineLevel="0" collapsed="false">
      <c r="B31" s="142" t="s">
        <v>659</v>
      </c>
      <c r="C31" s="142"/>
      <c r="D31" s="143" t="n">
        <f aca="false">PP_Ertrag_E1+PV_Ertrag_E1</f>
        <v>160080</v>
      </c>
      <c r="E31" s="143" t="n">
        <f aca="false">PP_Ertrag_E2+PV_Ertrag_E2</f>
        <v>176880</v>
      </c>
      <c r="F31" s="143" t="n">
        <f aca="false">D31+E31</f>
        <v>336960</v>
      </c>
    </row>
    <row r="33" customFormat="false" ht="17.25" hidden="false" customHeight="true" outlineLevel="0" collapsed="false">
      <c r="B33" s="24" t="s">
        <v>660</v>
      </c>
      <c r="C33" s="24"/>
      <c r="D33" s="24"/>
      <c r="E33" s="24"/>
      <c r="F33" s="24"/>
      <c r="G33" s="24"/>
      <c r="H33" s="24"/>
    </row>
    <row r="34" customFormat="false" ht="15" hidden="false" customHeight="true" outlineLevel="0" collapsed="false">
      <c r="B34" s="11" t="s">
        <v>661</v>
      </c>
      <c r="C34" s="11"/>
      <c r="D34" s="26" t="n">
        <f aca="false">Mietertrag_E1_Soll</f>
        <v>2054973.6</v>
      </c>
      <c r="E34" s="26" t="n">
        <f aca="false">Mietertrag_Total_Soll-Mietertrag_E1_Soll</f>
        <v>2096073.072</v>
      </c>
      <c r="F34" s="27" t="n">
        <f aca="false">Mietertrag_Total_Soll</f>
        <v>4151046.672</v>
      </c>
    </row>
    <row r="35" customFormat="false" ht="15" hidden="false" customHeight="true" outlineLevel="0" collapsed="false">
      <c r="B35" s="11" t="s">
        <v>662</v>
      </c>
      <c r="C35" s="11"/>
      <c r="D35" s="26" t="n">
        <f aca="false">Nebenertrag_E1</f>
        <v>160080</v>
      </c>
      <c r="E35" s="26" t="n">
        <f aca="false">Nebenertrag_E2</f>
        <v>176880</v>
      </c>
      <c r="F35" s="27" t="n">
        <f aca="false">Nebenertrag_Total</f>
        <v>336960</v>
      </c>
    </row>
    <row r="36" customFormat="false" ht="15" hidden="false" customHeight="true" outlineLevel="0" collapsed="false">
      <c r="B36" s="11" t="s">
        <v>663</v>
      </c>
      <c r="C36" s="11"/>
      <c r="D36" s="45" t="n">
        <f aca="false">D34+D35</f>
        <v>2215053.6</v>
      </c>
      <c r="E36" s="45" t="n">
        <f aca="false">E34+E35</f>
        <v>2272953.072</v>
      </c>
      <c r="F36" s="45" t="n">
        <f aca="false">F34+F35</f>
        <v>4488006.672</v>
      </c>
    </row>
    <row r="37" customFormat="false" ht="15" hidden="false" customHeight="true" outlineLevel="0" collapsed="false">
      <c r="B37" s="11" t="s">
        <v>664</v>
      </c>
      <c r="C37" s="11"/>
      <c r="D37" s="26" t="n">
        <f aca="false">Invest_E1</f>
        <v>37500000</v>
      </c>
      <c r="E37" s="26" t="n">
        <f aca="false">Invest_E2</f>
        <v>37500000</v>
      </c>
      <c r="F37" s="27" t="n">
        <f aca="false">Invest_Total</f>
        <v>75000000</v>
      </c>
    </row>
    <row r="38" customFormat="false" ht="15" hidden="false" customHeight="true" outlineLevel="0" collapsed="false">
      <c r="B38" s="11" t="s">
        <v>665</v>
      </c>
      <c r="C38" s="11"/>
      <c r="D38" s="144" t="n">
        <f aca="false">Mietertrag_E1_Soll/Invest_E1</f>
        <v>0.054799296</v>
      </c>
      <c r="F38" s="145" t="n">
        <f aca="false">Mietertrag_Total_Soll/Invest_Total</f>
        <v>0.05534728896</v>
      </c>
    </row>
    <row r="39" customFormat="false" ht="15" hidden="false" customHeight="true" outlineLevel="0" collapsed="false">
      <c r="B39" s="11" t="s">
        <v>666</v>
      </c>
      <c r="C39" s="11"/>
      <c r="D39" s="136" t="n">
        <f aca="false">D36/D37</f>
        <v>0.059068096</v>
      </c>
      <c r="F39" s="136" t="n">
        <f aca="false">F36/F37</f>
        <v>0.05984008896</v>
      </c>
    </row>
    <row r="40" customFormat="false" ht="15" hidden="false" customHeight="true" outlineLevel="0" collapsed="false">
      <c r="B40" s="11" t="s">
        <v>667</v>
      </c>
      <c r="C40" s="11"/>
      <c r="D40" s="146" t="n">
        <f aca="false">(D39-D38)*10000</f>
        <v>42.6879999999999</v>
      </c>
      <c r="F40" s="146" t="n">
        <f aca="false">(F39-F38)*10000</f>
        <v>44.9280000000001</v>
      </c>
    </row>
  </sheetData>
  <mergeCells count="42">
    <mergeCell ref="B2:H2"/>
    <mergeCell ref="B3:H3"/>
    <mergeCell ref="B5:H5"/>
    <mergeCell ref="F6:H6"/>
    <mergeCell ref="F7:H7"/>
    <mergeCell ref="F8:H8"/>
    <mergeCell ref="F9:H9"/>
    <mergeCell ref="B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B26:H26"/>
    <mergeCell ref="B27:C27"/>
    <mergeCell ref="E27:H27"/>
    <mergeCell ref="B28:C28"/>
    <mergeCell ref="B30:H30"/>
    <mergeCell ref="B31:C31"/>
    <mergeCell ref="B33:H33"/>
    <mergeCell ref="B34:C34"/>
    <mergeCell ref="B35:C35"/>
    <mergeCell ref="B36:C36"/>
    <mergeCell ref="B37:C37"/>
    <mergeCell ref="B38:C38"/>
    <mergeCell ref="B39:C39"/>
    <mergeCell ref="B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3"/>
  </cols>
  <sheetData>
    <row r="2" customFormat="false" ht="22.05" hidden="false" customHeight="true" outlineLevel="0" collapsed="false">
      <c r="B2" s="35" t="s">
        <v>668</v>
      </c>
      <c r="C2" s="35"/>
      <c r="D2" s="35"/>
    </row>
    <row r="3" customFormat="false" ht="15" hidden="false" customHeight="false" outlineLevel="0" collapsed="false">
      <c r="B3" s="147" t="s">
        <v>669</v>
      </c>
      <c r="C3" s="147"/>
      <c r="D3" s="147"/>
    </row>
    <row r="5" customFormat="false" ht="21.75" hidden="false" customHeight="true" outlineLevel="0" collapsed="false">
      <c r="B5" s="148" t="s">
        <v>670</v>
      </c>
      <c r="C5" s="148"/>
      <c r="D5" s="148"/>
    </row>
    <row r="6" customFormat="false" ht="23.85" hidden="false" customHeight="false" outlineLevel="0" collapsed="false">
      <c r="B6" s="149" t="s">
        <v>671</v>
      </c>
      <c r="C6" s="150" t="s">
        <v>672</v>
      </c>
      <c r="D6" s="8" t="s">
        <v>673</v>
      </c>
    </row>
    <row r="7" customFormat="false" ht="23.85" hidden="false" customHeight="false" outlineLevel="0" collapsed="false">
      <c r="B7" s="149" t="s">
        <v>674</v>
      </c>
      <c r="C7" s="150" t="s">
        <v>675</v>
      </c>
      <c r="D7" s="8" t="s">
        <v>676</v>
      </c>
    </row>
    <row r="8" customFormat="false" ht="23.85" hidden="false" customHeight="false" outlineLevel="0" collapsed="false">
      <c r="B8" s="149" t="s">
        <v>298</v>
      </c>
      <c r="C8" s="150" t="s">
        <v>677</v>
      </c>
      <c r="D8" s="8" t="s">
        <v>678</v>
      </c>
    </row>
    <row r="9" customFormat="false" ht="23.85" hidden="false" customHeight="false" outlineLevel="0" collapsed="false">
      <c r="B9" s="149" t="s">
        <v>679</v>
      </c>
      <c r="C9" s="150" t="s">
        <v>680</v>
      </c>
      <c r="D9" s="8" t="s">
        <v>681</v>
      </c>
    </row>
    <row r="10" customFormat="false" ht="15" hidden="false" customHeight="false" outlineLevel="0" collapsed="false">
      <c r="B10" s="149" t="s">
        <v>682</v>
      </c>
      <c r="C10" s="150" t="s">
        <v>683</v>
      </c>
      <c r="D10" s="8" t="s">
        <v>684</v>
      </c>
    </row>
    <row r="11" customFormat="false" ht="15" hidden="false" customHeight="false" outlineLevel="0" collapsed="false">
      <c r="B11" s="149" t="s">
        <v>300</v>
      </c>
      <c r="C11" s="150" t="s">
        <v>685</v>
      </c>
      <c r="D11" s="8" t="s">
        <v>686</v>
      </c>
    </row>
    <row r="12" customFormat="false" ht="15" hidden="false" customHeight="false" outlineLevel="0" collapsed="false">
      <c r="B12" s="149" t="s">
        <v>302</v>
      </c>
      <c r="C12" s="150" t="s">
        <v>477</v>
      </c>
      <c r="D12" s="8" t="s">
        <v>687</v>
      </c>
    </row>
    <row r="13" customFormat="false" ht="15" hidden="false" customHeight="false" outlineLevel="0" collapsed="false">
      <c r="B13" s="149" t="s">
        <v>304</v>
      </c>
      <c r="C13" s="150" t="s">
        <v>244</v>
      </c>
      <c r="D13" s="8" t="s">
        <v>688</v>
      </c>
    </row>
    <row r="14" customFormat="false" ht="15" hidden="false" customHeight="false" outlineLevel="0" collapsed="false">
      <c r="B14" s="149" t="s">
        <v>306</v>
      </c>
      <c r="C14" s="150" t="s">
        <v>307</v>
      </c>
      <c r="D14" s="8" t="s">
        <v>689</v>
      </c>
    </row>
    <row r="15" customFormat="false" ht="15" hidden="false" customHeight="false" outlineLevel="0" collapsed="false">
      <c r="B15" s="149" t="s">
        <v>690</v>
      </c>
      <c r="C15" s="150" t="s">
        <v>691</v>
      </c>
      <c r="D15" s="8" t="s">
        <v>692</v>
      </c>
    </row>
    <row r="16" customFormat="false" ht="23.85" hidden="false" customHeight="false" outlineLevel="0" collapsed="false">
      <c r="B16" s="149" t="s">
        <v>693</v>
      </c>
      <c r="C16" s="150" t="s">
        <v>694</v>
      </c>
      <c r="D16" s="8" t="s">
        <v>695</v>
      </c>
    </row>
    <row r="17" customFormat="false" ht="22.35" hidden="false" customHeight="false" outlineLevel="0" collapsed="false">
      <c r="B17" s="149" t="s">
        <v>696</v>
      </c>
      <c r="C17" s="150" t="s">
        <v>697</v>
      </c>
      <c r="D17" s="8" t="s">
        <v>698</v>
      </c>
    </row>
    <row r="18" customFormat="false" ht="21.75" hidden="false" customHeight="true" outlineLevel="0" collapsed="false">
      <c r="B18" s="148" t="s">
        <v>699</v>
      </c>
      <c r="C18" s="148"/>
      <c r="D18" s="148"/>
    </row>
    <row r="19" customFormat="false" ht="15" hidden="false" customHeight="false" outlineLevel="0" collapsed="false">
      <c r="B19" s="149" t="s">
        <v>314</v>
      </c>
      <c r="C19" s="150" t="s">
        <v>700</v>
      </c>
      <c r="D19" s="8" t="s">
        <v>701</v>
      </c>
    </row>
    <row r="20" customFormat="false" ht="15" hidden="false" customHeight="false" outlineLevel="0" collapsed="false">
      <c r="B20" s="149" t="s">
        <v>317</v>
      </c>
      <c r="C20" s="150" t="s">
        <v>318</v>
      </c>
      <c r="D20" s="8" t="s">
        <v>702</v>
      </c>
    </row>
    <row r="21" customFormat="false" ht="23.85" hidden="false" customHeight="false" outlineLevel="0" collapsed="false">
      <c r="B21" s="149" t="s">
        <v>320</v>
      </c>
      <c r="C21" s="150" t="s">
        <v>703</v>
      </c>
      <c r="D21" s="8" t="s">
        <v>704</v>
      </c>
    </row>
    <row r="22" customFormat="false" ht="15" hidden="false" customHeight="false" outlineLevel="0" collapsed="false">
      <c r="B22" s="149" t="s">
        <v>323</v>
      </c>
      <c r="C22" s="150" t="s">
        <v>326</v>
      </c>
      <c r="D22" s="8" t="s">
        <v>705</v>
      </c>
    </row>
    <row r="23" customFormat="false" ht="15" hidden="false" customHeight="false" outlineLevel="0" collapsed="false">
      <c r="B23" s="149" t="s">
        <v>325</v>
      </c>
      <c r="C23" s="150" t="s">
        <v>706</v>
      </c>
      <c r="D23" s="8" t="s">
        <v>707</v>
      </c>
    </row>
    <row r="24" customFormat="false" ht="15" hidden="false" customHeight="false" outlineLevel="0" collapsed="false">
      <c r="B24" s="149" t="s">
        <v>328</v>
      </c>
      <c r="C24" s="150" t="s">
        <v>329</v>
      </c>
      <c r="D24" s="8" t="s">
        <v>708</v>
      </c>
    </row>
    <row r="25" customFormat="false" ht="15" hidden="false" customHeight="false" outlineLevel="0" collapsed="false">
      <c r="B25" s="149" t="s">
        <v>331</v>
      </c>
      <c r="C25" s="150" t="s">
        <v>709</v>
      </c>
      <c r="D25" s="8" t="s">
        <v>710</v>
      </c>
    </row>
    <row r="26" customFormat="false" ht="15" hidden="false" customHeight="false" outlineLevel="0" collapsed="false">
      <c r="B26" s="149" t="s">
        <v>334</v>
      </c>
      <c r="C26" s="150" t="s">
        <v>711</v>
      </c>
      <c r="D26" s="8" t="s">
        <v>712</v>
      </c>
    </row>
    <row r="27" customFormat="false" ht="15" hidden="false" customHeight="false" outlineLevel="0" collapsed="false">
      <c r="B27" s="149" t="s">
        <v>337</v>
      </c>
      <c r="C27" s="150" t="s">
        <v>338</v>
      </c>
      <c r="D27" s="8" t="s">
        <v>713</v>
      </c>
    </row>
    <row r="28" customFormat="false" ht="15" hidden="false" customHeight="false" outlineLevel="0" collapsed="false">
      <c r="B28" s="149" t="s">
        <v>340</v>
      </c>
      <c r="C28" s="150" t="s">
        <v>341</v>
      </c>
      <c r="D28" s="8" t="s">
        <v>714</v>
      </c>
    </row>
    <row r="29" customFormat="false" ht="21.75" hidden="false" customHeight="true" outlineLevel="0" collapsed="false">
      <c r="B29" s="148" t="s">
        <v>103</v>
      </c>
      <c r="C29" s="148"/>
      <c r="D29" s="148"/>
    </row>
    <row r="30" customFormat="false" ht="23.85" hidden="false" customHeight="false" outlineLevel="0" collapsed="false">
      <c r="B30" s="149" t="s">
        <v>715</v>
      </c>
      <c r="C30" s="150" t="s">
        <v>716</v>
      </c>
      <c r="D30" s="8" t="s">
        <v>717</v>
      </c>
    </row>
    <row r="31" customFormat="false" ht="23.85" hidden="false" customHeight="false" outlineLevel="0" collapsed="false">
      <c r="B31" s="149" t="s">
        <v>51</v>
      </c>
      <c r="C31" s="150" t="s">
        <v>718</v>
      </c>
      <c r="D31" s="8" t="s">
        <v>719</v>
      </c>
    </row>
    <row r="32" customFormat="false" ht="15" hidden="false" customHeight="false" outlineLevel="0" collapsed="false">
      <c r="B32" s="149" t="s">
        <v>57</v>
      </c>
      <c r="C32" s="150" t="s">
        <v>720</v>
      </c>
      <c r="D32" s="8" t="s">
        <v>721</v>
      </c>
    </row>
    <row r="33" customFormat="false" ht="15" hidden="false" customHeight="false" outlineLevel="0" collapsed="false">
      <c r="B33" s="149" t="s">
        <v>722</v>
      </c>
      <c r="C33" s="150" t="s">
        <v>723</v>
      </c>
      <c r="D33" s="8" t="s">
        <v>724</v>
      </c>
    </row>
    <row r="34" customFormat="false" ht="23.85" hidden="false" customHeight="false" outlineLevel="0" collapsed="false">
      <c r="B34" s="149" t="s">
        <v>725</v>
      </c>
      <c r="C34" s="150" t="s">
        <v>726</v>
      </c>
      <c r="D34" s="8" t="s">
        <v>727</v>
      </c>
    </row>
    <row r="35" customFormat="false" ht="23.85" hidden="false" customHeight="false" outlineLevel="0" collapsed="false">
      <c r="B35" s="149" t="s">
        <v>567</v>
      </c>
      <c r="C35" s="150" t="s">
        <v>728</v>
      </c>
      <c r="D35" s="8" t="s">
        <v>729</v>
      </c>
    </row>
    <row r="36" customFormat="false" ht="22.35" hidden="false" customHeight="false" outlineLevel="0" collapsed="false">
      <c r="B36" s="149" t="s">
        <v>730</v>
      </c>
      <c r="C36" s="150" t="s">
        <v>731</v>
      </c>
      <c r="D36" s="8" t="s">
        <v>732</v>
      </c>
    </row>
    <row r="37" customFormat="false" ht="15" hidden="false" customHeight="false" outlineLevel="0" collapsed="false">
      <c r="B37" s="149" t="s">
        <v>733</v>
      </c>
      <c r="C37" s="150" t="s">
        <v>734</v>
      </c>
      <c r="D37" s="8" t="s">
        <v>735</v>
      </c>
    </row>
    <row r="38" customFormat="false" ht="21.75" hidden="false" customHeight="true" outlineLevel="0" collapsed="false">
      <c r="B38" s="148" t="s">
        <v>736</v>
      </c>
      <c r="C38" s="148"/>
      <c r="D38" s="148"/>
    </row>
    <row r="39" customFormat="false" ht="15" hidden="false" customHeight="false" outlineLevel="0" collapsed="false">
      <c r="B39" s="149" t="s">
        <v>737</v>
      </c>
      <c r="C39" s="150" t="s">
        <v>738</v>
      </c>
      <c r="D39" s="8" t="s">
        <v>739</v>
      </c>
    </row>
    <row r="40" customFormat="false" ht="15" hidden="false" customHeight="false" outlineLevel="0" collapsed="false">
      <c r="B40" s="149" t="s">
        <v>740</v>
      </c>
      <c r="C40" s="150" t="s">
        <v>741</v>
      </c>
      <c r="D40" s="8" t="s">
        <v>742</v>
      </c>
    </row>
    <row r="41" customFormat="false" ht="15" hidden="false" customHeight="false" outlineLevel="0" collapsed="false">
      <c r="B41" s="149" t="s">
        <v>743</v>
      </c>
      <c r="C41" s="150" t="s">
        <v>744</v>
      </c>
      <c r="D41" s="8" t="s">
        <v>745</v>
      </c>
    </row>
    <row r="42" customFormat="false" ht="15" hidden="false" customHeight="false" outlineLevel="0" collapsed="false">
      <c r="B42" s="149" t="s">
        <v>746</v>
      </c>
      <c r="C42" s="150"/>
      <c r="D42" s="8" t="s">
        <v>747</v>
      </c>
    </row>
    <row r="43" customFormat="false" ht="15" hidden="false" customHeight="false" outlineLevel="0" collapsed="false">
      <c r="B43" s="149" t="s">
        <v>748</v>
      </c>
      <c r="C43" s="150" t="s">
        <v>749</v>
      </c>
      <c r="D43" s="8" t="s">
        <v>750</v>
      </c>
    </row>
    <row r="44" customFormat="false" ht="22.35" hidden="false" customHeight="false" outlineLevel="0" collapsed="false">
      <c r="B44" s="149" t="s">
        <v>751</v>
      </c>
      <c r="C44" s="150" t="s">
        <v>752</v>
      </c>
      <c r="D44" s="8" t="s">
        <v>753</v>
      </c>
    </row>
    <row r="45" customFormat="false" ht="21.75" hidden="false" customHeight="true" outlineLevel="0" collapsed="false">
      <c r="B45" s="148" t="s">
        <v>754</v>
      </c>
      <c r="C45" s="148"/>
      <c r="D45" s="148"/>
    </row>
    <row r="46" customFormat="false" ht="15" hidden="false" customHeight="false" outlineLevel="0" collapsed="false">
      <c r="B46" s="149" t="s">
        <v>755</v>
      </c>
      <c r="C46" s="150" t="s">
        <v>756</v>
      </c>
      <c r="D46" s="8" t="s">
        <v>757</v>
      </c>
    </row>
    <row r="47" customFormat="false" ht="15" hidden="false" customHeight="false" outlineLevel="0" collapsed="false">
      <c r="B47" s="149" t="s">
        <v>758</v>
      </c>
      <c r="C47" s="150" t="s">
        <v>759</v>
      </c>
      <c r="D47" s="8" t="s">
        <v>760</v>
      </c>
    </row>
    <row r="48" customFormat="false" ht="15" hidden="false" customHeight="false" outlineLevel="0" collapsed="false">
      <c r="B48" s="149" t="s">
        <v>761</v>
      </c>
      <c r="C48" s="150"/>
      <c r="D48" s="8" t="s">
        <v>762</v>
      </c>
    </row>
    <row r="49" customFormat="false" ht="15" hidden="false" customHeight="false" outlineLevel="0" collapsed="false">
      <c r="B49" s="149" t="s">
        <v>763</v>
      </c>
      <c r="C49" s="150" t="s">
        <v>764</v>
      </c>
      <c r="D49" s="8" t="s">
        <v>765</v>
      </c>
    </row>
    <row r="50" customFormat="false" ht="15" hidden="false" customHeight="false" outlineLevel="0" collapsed="false">
      <c r="B50" s="149" t="s">
        <v>766</v>
      </c>
      <c r="C50" s="150" t="s">
        <v>767</v>
      </c>
      <c r="D50" s="8" t="s">
        <v>768</v>
      </c>
    </row>
    <row r="51" customFormat="false" ht="21.75" hidden="false" customHeight="true" outlineLevel="0" collapsed="false">
      <c r="B51" s="148" t="s">
        <v>769</v>
      </c>
      <c r="C51" s="148"/>
      <c r="D51" s="148"/>
    </row>
    <row r="52" customFormat="false" ht="23.85" hidden="false" customHeight="false" outlineLevel="0" collapsed="false">
      <c r="B52" s="149" t="s">
        <v>770</v>
      </c>
      <c r="C52" s="150"/>
      <c r="D52" s="8" t="s">
        <v>771</v>
      </c>
    </row>
    <row r="53" customFormat="false" ht="23.85" hidden="false" customHeight="false" outlineLevel="0" collapsed="false">
      <c r="B53" s="149" t="s">
        <v>772</v>
      </c>
      <c r="C53" s="150"/>
      <c r="D53" s="8" t="s">
        <v>773</v>
      </c>
    </row>
    <row r="54" customFormat="false" ht="23.85" hidden="false" customHeight="false" outlineLevel="0" collapsed="false">
      <c r="B54" s="149" t="s">
        <v>774</v>
      </c>
      <c r="C54" s="150"/>
      <c r="D54" s="8" t="s">
        <v>775</v>
      </c>
    </row>
    <row r="55" customFormat="false" ht="23.85" hidden="false" customHeight="false" outlineLevel="0" collapsed="false">
      <c r="B55" s="149" t="s">
        <v>776</v>
      </c>
      <c r="C55" s="150"/>
      <c r="D55" s="8" t="s">
        <v>777</v>
      </c>
    </row>
    <row r="56" customFormat="false" ht="15" hidden="false" customHeight="false" outlineLevel="0" collapsed="false">
      <c r="B56" s="149" t="s">
        <v>778</v>
      </c>
      <c r="C56" s="150" t="s">
        <v>779</v>
      </c>
      <c r="D56" s="8" t="s">
        <v>780</v>
      </c>
    </row>
  </sheetData>
  <mergeCells count="8">
    <mergeCell ref="B2:D2"/>
    <mergeCell ref="B3:D3"/>
    <mergeCell ref="B5:D5"/>
    <mergeCell ref="B18:D18"/>
    <mergeCell ref="B29:D29"/>
    <mergeCell ref="B38:D38"/>
    <mergeCell ref="B45:D45"/>
    <mergeCell ref="B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2026-05-18T09:55:15Z</dcterms:created>
  <dc:creator>openpyxl</dc:creator>
  <dc:description/>
  <dc:language>en-US</dc:language>
  <cp:lastModifiedBy/>
  <dcterms:modified xsi:type="dcterms:W3CDTF">2026-05-18T11:06:53Z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